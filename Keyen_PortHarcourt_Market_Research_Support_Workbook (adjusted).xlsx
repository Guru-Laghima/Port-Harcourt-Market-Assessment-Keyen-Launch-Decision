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P\Desktop\NEW PROJECT\"/>
    </mc:Choice>
  </mc:AlternateContent>
  <xr:revisionPtr revIDLastSave="0" documentId="13_ncr:20001_{88A10C63-38F6-44DE-9967-581712B1A0E3}" xr6:coauthVersionLast="47" xr6:coauthVersionMax="47" xr10:uidLastSave="{00000000-0000-0000-0000-000000000000}"/>
  <bookViews>
    <workbookView xWindow="-110" yWindow="-110" windowWidth="19420" windowHeight="10300" tabRatio="826" firstSheet="6" activeTab="10" xr2:uid="{00000000-000D-0000-FFFF-FFFF00000000}"/>
  </bookViews>
  <sheets>
    <sheet name="00_Cover_Instructions" sheetId="1" r:id="rId1"/>
    <sheet name="01_Market_Snapshot" sheetId="2" r:id="rId2"/>
    <sheet name="02_Competition" sheetId="3" r:id="rId3"/>
    <sheet name="03_Fares_Unit_Econ" sheetId="4" r:id="rId4"/>
    <sheet name="04_Launch_Cost_Model" sheetId="5" r:id="rId5"/>
    <sheet name="05_Scenario_Sensitivity" sheetId="6" r:id="rId6"/>
    <sheet name="06_Source_Tracker" sheetId="7" r:id="rId7"/>
    <sheet name="07_Food_Delivery" sheetId="9" r:id="rId8"/>
    <sheet name="08_Package_Dispatch" sheetId="10" r:id="rId9"/>
    <sheet name="09_Shared_Rides" sheetId="11" r:id="rId10"/>
    <sheet name="10_MultiService_Opportunity" sheetId="12" r:id="rId11"/>
  </sheet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3" i="6" l="1"/>
  <c r="C23" i="6"/>
  <c r="C22" i="6"/>
  <c r="C21" i="6"/>
  <c r="C20" i="6"/>
  <c r="C19" i="6"/>
  <c r="E14" i="6"/>
  <c r="B14" i="6"/>
  <c r="C14" i="6" s="1"/>
  <c r="D14" i="6" s="1"/>
  <c r="E13" i="6"/>
  <c r="B13" i="6"/>
  <c r="C13" i="6" s="1"/>
  <c r="D13" i="6" s="1"/>
  <c r="E12" i="6"/>
  <c r="B12" i="6"/>
  <c r="C12" i="6" s="1"/>
  <c r="D12" i="6" s="1"/>
  <c r="E11" i="6"/>
  <c r="B11" i="6"/>
  <c r="C11" i="6" s="1"/>
  <c r="D11" i="6" s="1"/>
  <c r="E10" i="6"/>
  <c r="B10" i="6"/>
  <c r="C10" i="6" s="1"/>
  <c r="D10" i="6" s="1"/>
  <c r="E9" i="6"/>
  <c r="B9" i="6"/>
  <c r="C9" i="6" s="1"/>
  <c r="D9" i="6" s="1"/>
  <c r="D47" i="5"/>
  <c r="C47" i="5"/>
  <c r="B47" i="5"/>
  <c r="D46" i="5"/>
  <c r="C46" i="5"/>
  <c r="B46" i="5"/>
  <c r="D45" i="5"/>
  <c r="C45" i="5"/>
  <c r="B45" i="5"/>
  <c r="D44" i="5"/>
  <c r="C44" i="5"/>
  <c r="B44" i="5"/>
  <c r="D43" i="5"/>
  <c r="C43" i="5"/>
  <c r="B43" i="5"/>
  <c r="D42" i="5"/>
  <c r="C42" i="5"/>
  <c r="B42" i="5"/>
  <c r="D41" i="5"/>
  <c r="C41" i="5"/>
  <c r="B41" i="5"/>
  <c r="D40" i="5"/>
  <c r="D48" i="5" s="1"/>
  <c r="C40" i="5"/>
  <c r="C48" i="5" s="1"/>
  <c r="B40" i="5"/>
  <c r="B48" i="5" s="1"/>
  <c r="D32" i="5"/>
  <c r="C32" i="5"/>
  <c r="B32" i="5"/>
  <c r="D31" i="5"/>
  <c r="C31" i="5"/>
  <c r="B31" i="5"/>
  <c r="D30" i="5"/>
  <c r="C30" i="5"/>
  <c r="B30" i="5"/>
  <c r="D29" i="5"/>
  <c r="C29" i="5"/>
  <c r="B29" i="5"/>
  <c r="D28" i="5"/>
  <c r="C28" i="5"/>
  <c r="B28" i="5"/>
  <c r="D27" i="5"/>
  <c r="C27" i="5"/>
  <c r="B27" i="5"/>
  <c r="D26" i="5"/>
  <c r="C26" i="5"/>
  <c r="B26" i="5"/>
  <c r="D25" i="5"/>
  <c r="D33" i="5" s="1"/>
  <c r="C25" i="5"/>
  <c r="C33" i="5" s="1"/>
  <c r="B25" i="5"/>
  <c r="B33" i="5" s="1"/>
  <c r="C21" i="4"/>
  <c r="D21" i="4" s="1"/>
  <c r="E21" i="4" s="1"/>
  <c r="C20" i="4"/>
  <c r="D20" i="4" s="1"/>
  <c r="E20" i="4" s="1"/>
  <c r="C19" i="4"/>
  <c r="D19" i="4" s="1"/>
  <c r="E19" i="4" s="1"/>
  <c r="C18" i="4"/>
  <c r="D18" i="4" s="1"/>
  <c r="E18" i="4" s="1"/>
  <c r="D49" i="5" l="1"/>
  <c r="D50" i="5" s="1"/>
  <c r="B49" i="5"/>
  <c r="B50" i="5" s="1"/>
  <c r="D34" i="5"/>
  <c r="D35" i="5" s="1"/>
  <c r="B34" i="5"/>
  <c r="B35" i="5"/>
  <c r="C34" i="5"/>
  <c r="C35" i="5" s="1"/>
  <c r="C49" i="5"/>
  <c r="C50" i="5" s="1"/>
</calcChain>
</file>

<file path=xl/sharedStrings.xml><?xml version="1.0" encoding="utf-8"?>
<sst xmlns="http://schemas.openxmlformats.org/spreadsheetml/2006/main" count="742" uniqueCount="581">
  <si>
    <t>KEYEN – PORT HARCOURT MARKET RESEARCH SUPPORT WORKBOOK</t>
  </si>
  <si>
    <t>Prepared: 27 September 2026 | Supporting the Market Research Report</t>
  </si>
  <si>
    <t>PURPOSE</t>
  </si>
  <si>
    <t>This workbook provides structured tables, launch cost models with scenarios, unit economics helpers, and a full source tracker for the Port Harcourt ride-hailing viability assessment. All formulas are live – change blue input cells and results recalculate.</t>
  </si>
  <si>
    <t>COLOUR &amp; FORMULA CONVENTIONS (CRITICAL)</t>
  </si>
  <si>
    <t>Blue text + Yellow background = INPUT assumptions (edit these)</t>
  </si>
  <si>
    <t>Black text = FORMULAS (do not overwrite)</t>
  </si>
  <si>
    <t>Green text = Cross-sheet references</t>
  </si>
  <si>
    <t>Light blue rows = Verified / stronger data</t>
  </si>
  <si>
    <t>Light orange rows = Estimates / secondary sources</t>
  </si>
  <si>
    <t>SHEET INDEX</t>
  </si>
  <si>
    <t>00_Cover_Instructions</t>
  </si>
  <si>
    <t>This sheet – how to use the model</t>
  </si>
  <si>
    <t>01_Market_Snapshot</t>
  </si>
  <si>
    <t>Population, demand areas, peak periods</t>
  </si>
  <si>
    <t>02_Competition</t>
  </si>
  <si>
    <t>Platform comparison, commissions, strengths/gaps</t>
  </si>
  <si>
    <t>03_Fares_Unit_Econ</t>
  </si>
  <si>
    <t>Sample fares, driver take-home, Keyen take-rate scenarios</t>
  </si>
  <si>
    <t>04_Launch_Cost_Model</t>
  </si>
  <si>
    <t>Refined 3-month &amp; 6-month launch cost build-up with 3 scenarios</t>
  </si>
  <si>
    <t>05_Scenario_Sensitivity</t>
  </si>
  <si>
    <t>Sensitivity tables on take-rate, driver count, trips/day, fuel</t>
  </si>
  <si>
    <t>06_Source_Tracker</t>
  </si>
  <si>
    <t>Full source list with type (Verified/Estimate), links, notes</t>
  </si>
  <si>
    <t>HOW TO USE</t>
  </si>
  <si>
    <t>1. Go to 04_Launch_Cost_Model – edit the yellow/blue input cells (driver targets, incentive levels, staff costs, etc.).</t>
  </si>
  <si>
    <t>2. Review calculated totals and scenario comparisons (Lean / Base / Aggressive).</t>
  </si>
  <si>
    <t>3. Use 05_Scenario_Sensitivity to stress-test key drivers of unit economics.</t>
  </si>
  <si>
    <t>4. All sources and data quality flags are in 06_Source_Tracker.</t>
  </si>
  <si>
    <t>5. Formula explanations and why certain assumptions were refined are in 07_Assumptions_Notes.</t>
  </si>
  <si>
    <t>Food delivery competition, demand, gaps, opportunity</t>
  </si>
  <si>
    <t>Package/courier/same-day competition, demand, gaps</t>
  </si>
  <si>
    <t>Shared rides / carpool current state and recommendation</t>
  </si>
  <si>
    <t>Priority ranking across all services + strategic implication</t>
  </si>
  <si>
    <t>MARKET &amp; DEMAND SNAPSHOT – PORT HARCOURT</t>
  </si>
  <si>
    <t>POPULATION</t>
  </si>
  <si>
    <t>Metric</t>
  </si>
  <si>
    <t>Value</t>
  </si>
  <si>
    <t>Year / Source Type</t>
  </si>
  <si>
    <t>Notes</t>
  </si>
  <si>
    <t>Data Quality</t>
  </si>
  <si>
    <t>Source Ref</t>
  </si>
  <si>
    <t>Urban agglomeration population</t>
  </si>
  <si>
    <t>2026 Estimate</t>
  </si>
  <si>
    <t>UN / World Population Review / Macrotrends range 3.79–3.95M</t>
  </si>
  <si>
    <t>Verified (range)</t>
  </si>
  <si>
    <t>S01,S02</t>
  </si>
  <si>
    <t>City proper (approx)</t>
  </si>
  <si>
    <t>2025 Est.</t>
  </si>
  <si>
    <t>Varies by LGA aggregation</t>
  </si>
  <si>
    <t>Estimate</t>
  </si>
  <si>
    <t>S03</t>
  </si>
  <si>
    <t>Rivers State total</t>
  </si>
  <si>
    <t>2025 Proj.</t>
  </si>
  <si>
    <t>~9.6–10.3M depending on source</t>
  </si>
  <si>
    <t>S04</t>
  </si>
  <si>
    <t>Obio/Akpor LGA (key demand)</t>
  </si>
  <si>
    <t>Recent Est.</t>
  </si>
  <si>
    <t>Fast-growing, many estates</t>
  </si>
  <si>
    <t>S05</t>
  </si>
  <si>
    <t>Port Harcourt LGA</t>
  </si>
  <si>
    <t>Core city</t>
  </si>
  <si>
    <t>KEY DEMAND AREAS / CORRIDORS</t>
  </si>
  <si>
    <t>Area / Corridor</t>
  </si>
  <si>
    <t>Primary Demand Type</t>
  </si>
  <si>
    <t>Relative Intensity</t>
  </si>
  <si>
    <t>GRA (Old/New/Phases 1-3)</t>
  </si>
  <si>
    <t>Corporate, Expat, High-income residential</t>
  </si>
  <si>
    <t>Very High</t>
  </si>
  <si>
    <t>Oil exec housing, hotels, nightlife</t>
  </si>
  <si>
    <t>Verified pattern</t>
  </si>
  <si>
    <t>Trans-Amadi</t>
  </si>
  <si>
    <t>Oil &amp; Gas industrial + services</t>
  </si>
  <si>
    <t>Shell, Halliburton, Total, service companies</t>
  </si>
  <si>
    <t>Verified</t>
  </si>
  <si>
    <t>Airport corridor (Omagwa–GRA)</t>
  </si>
  <si>
    <t>Airport transfers, logistics</t>
  </si>
  <si>
    <t>High</t>
  </si>
  <si>
    <t>PHC International Airport ~25-30km to GRA</t>
  </si>
  <si>
    <t>UNIPORT / Choba / Alakahia</t>
  </si>
  <si>
    <t>Students, staff, research</t>
  </si>
  <si>
    <t>High (term time)</t>
  </si>
  <si>
    <t>Large student population</t>
  </si>
  <si>
    <t>Aba Road / Ikwerre Road</t>
  </si>
  <si>
    <t>Commercial, mixed residential</t>
  </si>
  <si>
    <t>Major arteries</t>
  </si>
  <si>
    <t>Rumuola / Ada George / Woji</t>
  </si>
  <si>
    <t>Middle-class estates, professional</t>
  </si>
  <si>
    <t>Medium-High</t>
  </si>
  <si>
    <t>Growing residential</t>
  </si>
  <si>
    <t>Peter Odili Road</t>
  </si>
  <si>
    <t>Corporate + family estates</t>
  </si>
  <si>
    <t>Near Trans-Amadi</t>
  </si>
  <si>
    <t>Diobu (Mile 1-4)</t>
  </si>
  <si>
    <t>High-density commercial</t>
  </si>
  <si>
    <t>Medium (price sensitive)</t>
  </si>
  <si>
    <t>Informal transport dominant</t>
  </si>
  <si>
    <t>PEAK DEMAND PERIODS (Estimates)</t>
  </si>
  <si>
    <t>Weekday AM (07:00-09:00) and PM (16:00-19:00) commute | Rain events (surge) | Airport arrivals | Oil shift changes | UNIPORT term peaks | Weekend social/hotel demand</t>
  </si>
  <si>
    <t>COMPETITION LANDSCAPE – PORT HARCOURT</t>
  </si>
  <si>
    <t>PLATFORM COMPARISON</t>
  </si>
  <si>
    <t>Platform</t>
  </si>
  <si>
    <t>Presence in PH</t>
  </si>
  <si>
    <t>Pricing Model</t>
  </si>
  <si>
    <t>Driver Commission / Fee</t>
  </si>
  <si>
    <t>Approx. Take Rate</t>
  </si>
  <si>
    <t>Key Strength</t>
  </si>
  <si>
    <t>Key Weakness</t>
  </si>
  <si>
    <t>Bolt</t>
  </si>
  <si>
    <t>Strong (core corridors)</t>
  </si>
  <si>
    <t>Dynamic + surge</t>
  </si>
  <si>
    <t>15–20% of fare</t>
  </si>
  <si>
    <t>15-20%</t>
  </si>
  <si>
    <t>Network density, brand</t>
  </si>
  <si>
    <t>Commission + surge complaints; driver fare-hike attempts</t>
  </si>
  <si>
    <t>inDrive</t>
  </si>
  <si>
    <t>Strong / growing</t>
  </si>
  <si>
    <t>Rider-driver negotiation</t>
  </si>
  <si>
    <t>8–10% (promos lower)</t>
  </si>
  <si>
    <t>8-10%</t>
  </si>
  <si>
    <t>Lowest % take, price flexibility</t>
  </si>
  <si>
    <t>Negotiation friction; variable ETAs</t>
  </si>
  <si>
    <t>SimpliRide</t>
  </si>
  <si>
    <t>Operational (local focus)</t>
  </si>
  <si>
    <t>Negotiation + structured</t>
  </si>
  <si>
    <t>₦1,500 flat daily subscription (0%)</t>
  </si>
  <si>
    <t>Effective ~5-12% depending on volume</t>
  </si>
  <si>
    <t>Driver-first model, local support claims</t>
  </si>
  <si>
    <t>Newer, smaller network density</t>
  </si>
  <si>
    <t>Rida / others</t>
  </si>
  <si>
    <t>Limited / earlier presence</t>
  </si>
  <si>
    <t>Varies (some 0% claims)</t>
  </si>
  <si>
    <t>Varies</t>
  </si>
  <si>
    <t>Niche or zero-commission experiments</t>
  </si>
  <si>
    <t>Scale limited</t>
  </si>
  <si>
    <t>Uber (legacy)</t>
  </si>
  <si>
    <t>Limited / exited NG ~Sep 2026</t>
  </si>
  <si>
    <t>Was ~25%</t>
  </si>
  <si>
    <t>Brand &amp; safety features historically</t>
  </si>
  <si>
    <t>High commission; reduced availability</t>
  </si>
  <si>
    <t>Verified exit reports</t>
  </si>
  <si>
    <t>GAPS / UNDERSERVED NEEDS (Analysis)</t>
  </si>
  <si>
    <t>1. Predictable non-surge pricing with strong local safety &amp; support</t>
  </si>
  <si>
    <t>2. Driver economics that keep more net income while maintaining supply reliability</t>
  </si>
  <si>
    <t>3. Deep corporate / estate / airport partnership programmes</t>
  </si>
  <si>
    <t>4. Consistent availability outside pure peak hours in secondary corridors</t>
  </si>
  <si>
    <t>5. Transparent handling of local levies and tout pressure for drivers</t>
  </si>
  <si>
    <t>FARES, DRIVER EARNINGS &amp; UNIT ECONOMICS HELPER</t>
  </si>
  <si>
    <t>SAMPLE FARE RANGES (Port Harcourt, 2026 data)</t>
  </si>
  <si>
    <t>Route / Distance Band</t>
  </si>
  <si>
    <t>inDrive (₦)</t>
  </si>
  <si>
    <t>Bolt (₦)</t>
  </si>
  <si>
    <t>Uber-style / Other (₦)</t>
  </si>
  <si>
    <t>Traditional Taxi (₦)</t>
  </si>
  <si>
    <t>Short (&lt;5 km)</t>
  </si>
  <si>
    <t>600–1,000</t>
  </si>
  <si>
    <t>1,000–1,800</t>
  </si>
  <si>
    <t>1,200–2,200</t>
  </si>
  <si>
    <t>800–1,500</t>
  </si>
  <si>
    <t>Highly variable; negotiation common</t>
  </si>
  <si>
    <t>Medium (5–10 km)</t>
  </si>
  <si>
    <t>900–1,400</t>
  </si>
  <si>
    <t>1,600–2,500</t>
  </si>
  <si>
    <t>2,000–3,000</t>
  </si>
  <si>
    <t>1,500–3,000</t>
  </si>
  <si>
    <t>Core everyday trips</t>
  </si>
  <si>
    <t>Estimate (multiple sources)</t>
  </si>
  <si>
    <t>Longer (10–20 km)</t>
  </si>
  <si>
    <t>1,600–2,800</t>
  </si>
  <si>
    <t>2,500–5,000</t>
  </si>
  <si>
    <t>3,000–6,000</t>
  </si>
  <si>
    <t>Includes some GRA–outskirt</t>
  </si>
  <si>
    <t>Airport (PHC) → GRA (~25-30 km)</t>
  </si>
  <si>
    <t>Negotiated ~5k–9k</t>
  </si>
  <si>
    <t>App ~7,000–10,500</t>
  </si>
  <si>
    <t>Higher / limited</t>
  </si>
  <si>
    <t>8,000–12,000</t>
  </si>
  <si>
    <t>Bolt site examples ~₦7.1k–10.5k; taxi negotiated</t>
  </si>
  <si>
    <t>Verified examples + Estimate</t>
  </si>
  <si>
    <t>DRIVER TAKE-HOME ILLUSTRATION (per trip – illustrative)</t>
  </si>
  <si>
    <t>Assumptions (edit blue/yellow cells)</t>
  </si>
  <si>
    <t>Example gross fare (₦)</t>
  </si>
  <si>
    <t>← INPUT</t>
  </si>
  <si>
    <t>Fuel + variable cost per trip (₦)</t>
  </si>
  <si>
    <t>← INPUT (fuel dominant)</t>
  </si>
  <si>
    <t>Other variable (data, wear) (₦)</t>
  </si>
  <si>
    <t>Commission %</t>
  </si>
  <si>
    <t>Platform Take (₦)</t>
  </si>
  <si>
    <t>Driver after commission (₦)</t>
  </si>
  <si>
    <t>Driver Net after fuel+var (₦)</t>
  </si>
  <si>
    <t>SimpliRide (effective)</t>
  </si>
  <si>
    <t>Keyen (scenario)</t>
  </si>
  <si>
    <t>Note: SimpliRide uses flat ₦1,500/day. Effective % = 1500 / daily gross. Example assumes mid-volume day. Change B13–B15 and commission cells to model different trips.</t>
  </si>
  <si>
    <t>KEYEN TARGET TAKE-RATE GUIDANCE (Analysis)</t>
  </si>
  <si>
    <t>To attract multi-homing drivers: aim for effective take ≤15% or hybrid (subscription option). 10–12% with strong early incentives is competitive vs Bolt while funding ops. Monitor driver net after fuel closely.</t>
  </si>
  <si>
    <t>LAUNCH COST MODEL – PORT HARCOURT (REFINED)</t>
  </si>
  <si>
    <t>All figures in ₦. Blue/Yellow = editable inputs. Black = formulas. Three scenarios: Lean (minimal viable pilot), Base (recommended), Aggressive (faster scale).</t>
  </si>
  <si>
    <t>CORE ASSUMPTIONS (edit these)</t>
  </si>
  <si>
    <t>Parameter</t>
  </si>
  <si>
    <t>Lean</t>
  </si>
  <si>
    <t>Base</t>
  </si>
  <si>
    <t>Aggressive</t>
  </si>
  <si>
    <t>Unit / Note</t>
  </si>
  <si>
    <t>Target active drivers (Month 1-3 avg)</t>
  </si>
  <si>
    <t>Drivers</t>
  </si>
  <si>
    <t>Target active drivers (Month 4-6 avg)</t>
  </si>
  <si>
    <t>Sign-up / onboarding bonus per driver (₦)</t>
  </si>
  <si>
    <t>One-time</t>
  </si>
  <si>
    <t>Monthly incentive / reduced-take support per driver (₦)</t>
  </si>
  <si>
    <t>Avg over period</t>
  </si>
  <si>
    <t>Rider promo / acquisition cost per new rider (₦)</t>
  </si>
  <si>
    <t>Blended</t>
  </si>
  <si>
    <t>Target new riders acquired (3 months)</t>
  </si>
  <si>
    <t>Riders</t>
  </si>
  <si>
    <t>Target new riders acquired (6 months)</t>
  </si>
  <si>
    <t>Ops staff (FTE equivalent)</t>
  </si>
  <si>
    <t>People</t>
  </si>
  <si>
    <t>Avg monthly staff cost fully loaded (₦)</t>
  </si>
  <si>
    <t>Per FTE</t>
  </si>
  <si>
    <t>Small office / co-working monthly (₦)</t>
  </si>
  <si>
    <t>Rent + utilities</t>
  </si>
  <si>
    <t>Legal / regulatory / CAC / permits (one-time ₦)</t>
  </si>
  <si>
    <t>Incl. counsel &amp; state engagement</t>
  </si>
  <si>
    <t>Marketing &amp; BD (digital + outdoor + corporate) 3-mo (₦)</t>
  </si>
  <si>
    <t>Total period</t>
  </si>
  <si>
    <t>Marketing &amp; BD 6-mo total (₦)</t>
  </si>
  <si>
    <t>Travel / logistics / contingency buffer %</t>
  </si>
  <si>
    <t>Of subtotal</t>
  </si>
  <si>
    <t>Tech localisation / support setup (one-time ₦)</t>
  </si>
  <si>
    <t>Minor if core app ready</t>
  </si>
  <si>
    <t>3-MONTH LAUNCH COST BUILD-UP</t>
  </si>
  <si>
    <t>Cost Line</t>
  </si>
  <si>
    <t>Lean (₦)</t>
  </si>
  <si>
    <t>Base (₦)</t>
  </si>
  <si>
    <t>Aggressive (₦)</t>
  </si>
  <si>
    <t>Formula / Logic</t>
  </si>
  <si>
    <t>Driver sign-up / onboarding bonuses</t>
  </si>
  <si>
    <t>Target drivers × sign-up bonus</t>
  </si>
  <si>
    <t>Driver ongoing incentives (3 months)</t>
  </si>
  <si>
    <t>Drivers × monthly incentive × 3</t>
  </si>
  <si>
    <t>Rider acquisition / promos (3 months)</t>
  </si>
  <si>
    <t>New riders × cost per rider</t>
  </si>
  <si>
    <t>Staffing (3 months)</t>
  </si>
  <si>
    <t>FTEs × monthly cost × 3</t>
  </si>
  <si>
    <t>Office / co-working (3 months)</t>
  </si>
  <si>
    <t>Monthly rent × 3</t>
  </si>
  <si>
    <t>Legal / Regulatory / Permits (one-time)</t>
  </si>
  <si>
    <t>Direct input</t>
  </si>
  <si>
    <t>Marketing &amp; Business Development (3 mo)</t>
  </si>
  <si>
    <t>Direct input (period total)</t>
  </si>
  <si>
    <t>Tech localisation / support setup</t>
  </si>
  <si>
    <t>SUBTOTAL (before contingency)</t>
  </si>
  <si>
    <t>Sum of lines above</t>
  </si>
  <si>
    <t>Contingency / Travel / Buffer</t>
  </si>
  <si>
    <t>Subtotal × contingency %</t>
  </si>
  <si>
    <t>TOTAL 3-MONTH LAUNCH COST</t>
  </si>
  <si>
    <t>Subtotal + Contingency</t>
  </si>
  <si>
    <t>6-MONTH CUMULATIVE COST VIEW (includes continued ops)</t>
  </si>
  <si>
    <t>Logic</t>
  </si>
  <si>
    <t>Driver sign-up (cumulative, using M4-6 target)</t>
  </si>
  <si>
    <t>Driver incentives (6 months, blended drivers)</t>
  </si>
  <si>
    <t>Rider acquisition (6 months)</t>
  </si>
  <si>
    <t>Staffing (6 months)</t>
  </si>
  <si>
    <t>Office (6 months)</t>
  </si>
  <si>
    <t>Legal / Regulatory (one-time)</t>
  </si>
  <si>
    <t>Marketing &amp; BD (6 mo total)</t>
  </si>
  <si>
    <t>Tech setup (one-time)</t>
  </si>
  <si>
    <t>SUBTOTAL 6-MONTH</t>
  </si>
  <si>
    <t>Contingency / Buffer</t>
  </si>
  <si>
    <t>TOTAL 6-MONTH OPERATING + LAUNCH COST</t>
  </si>
  <si>
    <t>REFINEMENT NOTES ON LAUNCH COSTS</t>
  </si>
  <si>
    <t>• Legal/Regulatory: Includes CAC, Rivers State engagement, possible vehicle/driver permit support, commercial insurance setup, and local counsel. 2022-era levy attempts and ongoing tout issues justify higher Base/Aggressive legal buffer.</t>
  </si>
  <si>
    <t>• Driver incentives: Higher than pure Lagos because multi-homing is strong and fuel costs have eroded net earnings; early reduced-take or cash bonuses are essential for supply.</t>
  </si>
  <si>
    <t>• Staffing: Lean can start with 1 local ops + remote support; Base assumes dedicated driver relations + rider support + BD.</t>
  </si>
  <si>
    <t>• Office: Not strictly required for app model but highly useful for onboarding, cash handling if needed, and local presence with unions/authorities.</t>
  </si>
  <si>
    <t>• Marketing: Corporate BD (oil firms, hotels, estates) is high-ROI in PH; digital alone is insufficient for trust in a new brand.</t>
  </si>
  <si>
    <t>• Contingency elevated because of fuel volatility, informal levies, and possible union engagement costs.</t>
  </si>
  <si>
    <t>SCENARIO &amp; SENSITIVITY ANALYSIS</t>
  </si>
  <si>
    <t>UNIT ECONOMICS SENSITIVITY – KEYEN TAKE RATE vs DRIVER NET</t>
  </si>
  <si>
    <t>Fixed assumptions for this table (edit if needed)</t>
  </si>
  <si>
    <t>Gross fare per trip (₦)</t>
  </si>
  <si>
    <t>Fuel + variable cost (₦)</t>
  </si>
  <si>
    <t>Keyen Take Rate</t>
  </si>
  <si>
    <t>Driver Net after costs (₦)</t>
  </si>
  <si>
    <t>Attractiveness vs Bolt (~18%)</t>
  </si>
  <si>
    <t>DRIVER COUNT vs MONTHLY INCENTIVE COST (Base case illustration)</t>
  </si>
  <si>
    <t>Active Drivers</t>
  </si>
  <si>
    <t>Monthly incentive / driver (₦)</t>
  </si>
  <si>
    <t>Total monthly incentive cost (₦)</t>
  </si>
  <si>
    <t>Scales linearly; can taper after density achieved</t>
  </si>
  <si>
    <t>QUICK BREAKEVEN HELPER (illustrative monthly)</t>
  </si>
  <si>
    <t>Avg trips per driver per day</t>
  </si>
  <si>
    <t>Working days / month</t>
  </si>
  <si>
    <t>Avg gross fare (₦)</t>
  </si>
  <si>
    <t>Keyen take rate</t>
  </si>
  <si>
    <t>Active drivers</t>
  </si>
  <si>
    <t>Monthly Gross Platform Revenue (₦)</t>
  </si>
  <si>
    <t>Note: This is platform take only. Does not subtract incentives, staff, or other opex. Use to gauge revenue potential vs cost base in 04_Launch_Cost_Model.</t>
  </si>
  <si>
    <t>SOURCE TRACKER – ALL DATA POINTS</t>
  </si>
  <si>
    <t>Type: Verified = primary/official or multiple consistent reports with dates. Estimate = secondary aggregation or single-source. Analysis = synthesis.</t>
  </si>
  <si>
    <t>ID</t>
  </si>
  <si>
    <t>Topic</t>
  </si>
  <si>
    <t>Data Point / Claim</t>
  </si>
  <si>
    <t>Type</t>
  </si>
  <si>
    <t>Source / Publication</t>
  </si>
  <si>
    <t>Date / Year</t>
  </si>
  <si>
    <t>URL or Reference</t>
  </si>
  <si>
    <t>S01</t>
  </si>
  <si>
    <t>Population</t>
  </si>
  <si>
    <t>PH urban agg. ~3.79–3.95M (2025-26)</t>
  </si>
  <si>
    <t>World Population Review / Macrotrends / UN WUP</t>
  </si>
  <si>
    <t>2025-2026</t>
  </si>
  <si>
    <t>https://worldpopulationreview.com/cities/nigeria/port-harcourt</t>
  </si>
  <si>
    <t>S02</t>
  </si>
  <si>
    <t>Metro area growth series</t>
  </si>
  <si>
    <t>Macrotrends Port Harcourt Metro</t>
  </si>
  <si>
    <t>2026</t>
  </si>
  <si>
    <t>https://www.macrotrends.net/global-metrics/cities/22018/port-harcourt/population</t>
  </si>
  <si>
    <t>City proper estimates vary ~2.1–2.2M</t>
  </si>
  <si>
    <t>Multiple city lists / Wikipedia aggregates</t>
  </si>
  <si>
    <t>2025</t>
  </si>
  <si>
    <t>Various</t>
  </si>
  <si>
    <t>Rivers State ~9.6–10.3M</t>
  </si>
  <si>
    <t>NaijaDetails / CityFacts projections</t>
  </si>
  <si>
    <t>https://naijadetails.com/facts-about-rivers-state-population/</t>
  </si>
  <si>
    <t>LGA breakdowns (Obio/Akpor, PH LGA)</t>
  </si>
  <si>
    <t>NaijaDetails LGA table</t>
  </si>
  <si>
    <t>Same as S04</t>
  </si>
  <si>
    <t>S06</t>
  </si>
  <si>
    <t>Competition</t>
  </si>
  <si>
    <t>Bolt, inDrive, SimpliRide active in PH</t>
  </si>
  <si>
    <t>SimpliRide site, Ridetransport, Tech articles</t>
  </si>
  <si>
    <t>https://www.simpliride.com/taxi-app-in-port-harcourt/</t>
  </si>
  <si>
    <t>S07</t>
  </si>
  <si>
    <t>inDrive launch PH with zero-commission promo (2023)</t>
  </si>
  <si>
    <t>Brand Network / Techeconomy</t>
  </si>
  <si>
    <t>2023</t>
  </si>
  <si>
    <t>https://techeconomy.ng/indrive-launches-in-port-harcourt-with-zero-commission-offer-for-drivers</t>
  </si>
  <si>
    <t>S08</t>
  </si>
  <si>
    <t>SimpliRide ₦1,500/day flat, zero % commission</t>
  </si>
  <si>
    <t>SimpliRide official + multiple launch articles</t>
  </si>
  <si>
    <t>https://www.simpliride.com/simpliride-subscription-model/</t>
  </si>
  <si>
    <t>S09</t>
  </si>
  <si>
    <t>Uber exit from Nigeria ~Sep 2026 reports</t>
  </si>
  <si>
    <t>BusinessDay / Techeconomy / Profolio</t>
  </si>
  <si>
    <t>Sep 2026</t>
  </si>
  <si>
    <t>Multiple contemporary reports</t>
  </si>
  <si>
    <t>S10</t>
  </si>
  <si>
    <t>Fares</t>
  </si>
  <si>
    <t>10km trip ranges: inDrive 900-1400, Bolt 1600-1800</t>
  </si>
  <si>
    <t>Ridetransport comparison article</t>
  </si>
  <si>
    <t>https://ridetransport.com.ng/cheapest-ride-hailing-app-nigeria-2026-indriver-vs-bolt-vs-uber-prices/</t>
  </si>
  <si>
    <t>S11</t>
  </si>
  <si>
    <t>Bolt Airport–GRA examples ~₦7,100–10,500</t>
  </si>
  <si>
    <t>Bolt.eu route pages</t>
  </si>
  <si>
    <t>https://bolt.eu/en/cities/port-harcourt/route/...</t>
  </si>
  <si>
    <t>S12</t>
  </si>
  <si>
    <t>Traditional airport taxi ₦8,000–12,000</t>
  </si>
  <si>
    <t>TaxiBazaar / travel guides</t>
  </si>
  <si>
    <t>https://www.taxibazaar.in/port-harcourt-airport-taxi-guide.php</t>
  </si>
  <si>
    <t>S13</t>
  </si>
  <si>
    <t>Commission ranges: Bolt 15-20%, inDrive 8-10%, Uber was ~25%</t>
  </si>
  <si>
    <t>Multiple driver guides &amp; articles 2026</t>
  </si>
  <si>
    <t>Ridetransport, Nigeriawide, etc.</t>
  </si>
  <si>
    <t>S14</t>
  </si>
  <si>
    <t>PH driver weekly gross estimate ₦100k–180k</t>
  </si>
  <si>
    <t>Waypoint / industry guides</t>
  </si>
  <si>
    <t>https://ng.waypointride.com/become-ride-hailing-driver-nigeria.html</t>
  </si>
  <si>
    <t>S15</t>
  </si>
  <si>
    <t>AUATON PH drivers attempted 50% fare add on Bolt</t>
  </si>
  <si>
    <t>Technext / Silicon Africa</t>
  </si>
  <si>
    <t>Oct 2025</t>
  </si>
  <si>
    <t>https://technext24.com/news/e-hailing-drivers-hike-fares-50-bolt/</t>
  </si>
  <si>
    <t>S16</t>
  </si>
  <si>
    <t>Regulation</t>
  </si>
  <si>
    <t>2022 Rivers levy attempt on ride-hailing drivers (₦12k + monthly)</t>
  </si>
  <si>
    <t>TechCabal</t>
  </si>
  <si>
    <t>Oct 2022</t>
  </si>
  <si>
    <t>https://techcabal.com/2022/10/14/port-harcourt-levy/</t>
  </si>
  <si>
    <t>S17</t>
  </si>
  <si>
    <t>Ongoing multiple levies / tout issues; driver protests 2026</t>
  </si>
  <si>
    <t>Independent NG / Guardian</t>
  </si>
  <si>
    <t>Apr 2026</t>
  </si>
  <si>
    <t>https://independent.ng/rivers-drivers-storm-government-house...</t>
  </si>
  <si>
    <t>S18</t>
  </si>
  <si>
    <t>National ride-hailing bill progressing but not fully enacted</t>
  </si>
  <si>
    <t>Aluko &amp; Oyebode / legal summaries</t>
  </si>
  <si>
    <t>PDF summaries</t>
  </si>
  <si>
    <t>S19</t>
  </si>
  <si>
    <t>Business Env</t>
  </si>
  <si>
    <t>Trans-Amadi oil hub, GRA estates, UNIPORT, Airport as demand generators</t>
  </si>
  <si>
    <t>Real estate guides, Ownkey, company presence</t>
  </si>
  <si>
    <t>Multiple property &amp; business sources</t>
  </si>
  <si>
    <t>--- NEW SOURCES ADDED OCTOBER 2026 (Food Delivery, Package/Dispatch, Shared Rides, Multi-Service) ---</t>
  </si>
  <si>
    <t>S21</t>
  </si>
  <si>
    <t>Food Delivery</t>
  </si>
  <si>
    <t>Chowdeck is leading food delivery platform in PH and nationally after exits</t>
  </si>
  <si>
    <t>Multiple 2025-2026 articles (TechCabal, Peekup, Digiconcept, Startup Graveyard)</t>
  </si>
  <si>
    <t>https://techcabal.com/2025/02/27/startups-food-delivery-space/; https://usepeekup.com/blog/food-delivery-apps-nigeria</t>
  </si>
  <si>
    <t>S22</t>
  </si>
  <si>
    <t>Glovo present in Port Harcourt for food + groceries</t>
  </si>
  <si>
    <t>TechCartel, Peekup, Digiconcept listings</t>
  </si>
  <si>
    <t>https://techcartel.net/6-food-delivery-apps-nigerians-use-every-day/</t>
  </si>
  <si>
    <t>S23</t>
  </si>
  <si>
    <t>Jollivry strong in PH/Calabar with local delicacies focus</t>
  </si>
  <si>
    <t>Digiconceptng best food delivery apps article</t>
  </si>
  <si>
    <t>https://digiconceptng.com/blog/8-best-food-delivery-apps-in-major-cities/</t>
  </si>
  <si>
    <t>S24</t>
  </si>
  <si>
    <t>Chao campus-focused at UNIPORT (food + groceries)</t>
  </si>
  <si>
    <t>TechCabal startups shaping food delivery space</t>
  </si>
  <si>
    <t>https://techcabal.com/2025/02/27/startups-food-delivery-space/</t>
  </si>
  <si>
    <t>S25</t>
  </si>
  <si>
    <t>Bolt Food and Jumia Food largely exited/scaled back Nigeria operations</t>
  </si>
  <si>
    <t>Startup Graveyard, Peekup, multiple reports</t>
  </si>
  <si>
    <t>2023-2026</t>
  </si>
  <si>
    <t>https://startupgraveyard.africa/blog/why-chowdeck-and-glovo-are-winning-where-jumia-food-and-bolt-food-fell-short</t>
  </si>
  <si>
    <t>S26</t>
  </si>
  <si>
    <t>National online food delivery market growing; PH is secondary but meaningful city</t>
  </si>
  <si>
    <t>Statista / industry reports referenced in multiple articles; IMARC / Rationalstat figures</t>
  </si>
  <si>
    <t>2024-2026</t>
  </si>
  <si>
    <t>Various secondary aggregations</t>
  </si>
  <si>
    <t>S27</t>
  </si>
  <si>
    <t>Package/Dispatch</t>
  </si>
  <si>
    <t>Kora Kourier – PH-focused same-day delivery app with tracking &amp; verified riders</t>
  </si>
  <si>
    <t>Kora Kourier official site</t>
  </si>
  <si>
    <t>https://korakourier.com/</t>
  </si>
  <si>
    <t>S28</t>
  </si>
  <si>
    <t>Peng Logistics – local PH same-day, bulk, e-commerce, documents</t>
  </si>
  <si>
    <t>Peng Logistics Port Harcourt page</t>
  </si>
  <si>
    <t>https://www.penglogistics.com/p/delivery-company-in-port-harcourt-rivers.html</t>
  </si>
  <si>
    <t>S29</t>
  </si>
  <si>
    <t>SpeedMax – HQ in Port Harcourt, express &amp; e-commerce fulfilment</t>
  </si>
  <si>
    <t>SpeedMax official site</t>
  </si>
  <si>
    <t>https://speedmax.com.ng/</t>
  </si>
  <si>
    <t>S30</t>
  </si>
  <si>
    <t>GIG Logistics strong PH presence (12+ branches) + GIGGo app</t>
  </si>
  <si>
    <t>Travo.ng dispatch guides + GIG Logistics announcements</t>
  </si>
  <si>
    <t>https://services.travo.ng/delivery-services/dispatch-riders-in-port-harcourt-quick-affordable-delivery/</t>
  </si>
  <si>
    <t>S31</t>
  </si>
  <si>
    <t>Kwik same-day present in Port Harcourt; Travo &amp; Bolt Send available</t>
  </si>
  <si>
    <t>Travo.ng &amp; industry comparison guides</t>
  </si>
  <si>
    <t>S32</t>
  </si>
  <si>
    <t>Informal WhatsApp dispatch common but trust issues (ghost riders)</t>
  </si>
  <si>
    <t>Kora Kourier site messaging + local market commentary</t>
  </si>
  <si>
    <t>S33</t>
  </si>
  <si>
    <t>Intra-city same-day central PH often from ~₦3,000–3,500+; interstate Lagos–PH ~₦8k–20k</t>
  </si>
  <si>
    <t>Peng Logistics rates + Travo interstate pricing guides</t>
  </si>
  <si>
    <t>https://www.penglogistics.com/...; https://services.travo.ng/courier-services/interstate-package-delivery-in-nigeria-nationwide-shipping-by-travo-ng/</t>
  </si>
  <si>
    <t>S34</t>
  </si>
  <si>
    <t>Nigeria last-mile / logistics market significant; PH is key South-South node (oil &amp; gas + e-commerce)</t>
  </si>
  <si>
    <t>Verified/Estimate</t>
  </si>
  <si>
    <t>Ken Research, Mordor Intelligence, industry reports</t>
  </si>
  <si>
    <t>https://www.kenresearch.com/nigeria-last-mile-delivery-market.md; Mordor CEP reports</t>
  </si>
  <si>
    <t>S35</t>
  </si>
  <si>
    <t>Shared Rides</t>
  </si>
  <si>
    <t>No dominant formal app-based shared-ride / pooling product with clear scale in PH</t>
  </si>
  <si>
    <t>Absence in Bolt PH service pages, inDrive coverage, and local guides; focus remains private rides</t>
  </si>
  <si>
    <t>https://bolt.eu/en/cities/port-harcourt/; SimpliRide &amp; Travo PH transport guides</t>
  </si>
  <si>
    <t>S36</t>
  </si>
  <si>
    <t>Informal shared taxis / negotiated drops exist but unstructured</t>
  </si>
  <si>
    <t>General Nigerian urban transport pattern + lack of formal product evidence</t>
  </si>
  <si>
    <t>Analysis synthesis</t>
  </si>
  <si>
    <t>S37</t>
  </si>
  <si>
    <t>Multi-Service</t>
  </si>
  <si>
    <t>Priority ranking &amp; multi-homing recommendation (rides + delivery)</t>
  </si>
  <si>
    <t>Analysis</t>
  </si>
  <si>
    <t>Synthesised from competition, demand and unit-economics findings across verticals</t>
  </si>
  <si>
    <t>Oct 2026</t>
  </si>
  <si>
    <t>This workbook sheets 08–11 + Multi-Service Assessment Addendum</t>
  </si>
  <si>
    <t>FOOD DELIVERY – PORT HARCOURT MARKET SNAPSHOT</t>
  </si>
  <si>
    <t>COMPETITION &amp; PRESENCE</t>
  </si>
  <si>
    <t>Chowdeck</t>
  </si>
  <si>
    <t>Strong / Primary</t>
  </si>
  <si>
    <t>Food delivery</t>
  </si>
  <si>
    <t>Nigerian startup; widest national coverage including PH; leading player after exits of Bolt Food &amp; Jumia Food</t>
  </si>
  <si>
    <t>Glovo</t>
  </si>
  <si>
    <t>Present</t>
  </si>
  <si>
    <t>Food + Groceries + Other</t>
  </si>
  <si>
    <t>International; multi-category; active in major metros including PH</t>
  </si>
  <si>
    <t>Jollivry</t>
  </si>
  <si>
    <t>Chao</t>
  </si>
  <si>
    <t>Campus (UNIPORT)</t>
  </si>
  <si>
    <t>Student food + groceries</t>
  </si>
  <si>
    <t>Hyperlocal campus model; UNIPORT presence</t>
  </si>
  <si>
    <t>Marketo / others</t>
  </si>
  <si>
    <t>Emerging local</t>
  </si>
  <si>
    <t>Fresh produce / markets</t>
  </si>
  <si>
    <t>WhatsApp/Instagram + small apps for produce &amp; local meals</t>
  </si>
  <si>
    <t>Bolt Food / Jumia Food</t>
  </si>
  <si>
    <t>DEMAND DRIVERS &amp; SEGMENTS</t>
  </si>
  <si>
    <t>Young professionals &amp; oil/gas workers (GRA, Trans-Amadi) | UNIPORT students | Estate residents | Rainy season convenience | Corporate lunch orders</t>
  </si>
  <si>
    <t>KEY GAPS / OPPORTUNITY FOR KEYEN</t>
  </si>
  <si>
    <t>1. Better courier (rider) economics than pure % commission models</t>
  </si>
  <si>
    <t>2. Deeper local restaurant &amp; vendor partnerships (especially non-chain)</t>
  </si>
  <si>
    <t>3. Integration with existing Keyen mobility drivers for multi-earning</t>
  </si>
  <si>
    <t>4. Reliability and tracking in secondary corridors beyond core GRA</t>
  </si>
  <si>
    <t>5. Lower effective cost for frequent users / corporate accounts</t>
  </si>
  <si>
    <t>PRELIMINARY UNIT ECONOMICS NOTES (Estimates)</t>
  </si>
  <si>
    <t>Typical delivery fee range nationally: ₦200–1,200 depending on distance &amp; platform. Commission to restaurants often 15–30%. Courier earnings highly variable; fuel + time are main costs. Multi-homing (rides + deliveries) improves utilisation.</t>
  </si>
  <si>
    <t>PACKAGE / COURIER / SAME-DAY DISPATCH – PORT HARCOURT</t>
  </si>
  <si>
    <t>Provider</t>
  </si>
  <si>
    <t>PH Strength</t>
  </si>
  <si>
    <t>Best For</t>
  </si>
  <si>
    <t>Kora Kourier</t>
  </si>
  <si>
    <t>Local app (PH-focused)</t>
  </si>
  <si>
    <t>Strong local</t>
  </si>
  <si>
    <t>Same-day verified riders, tracking, trust</t>
  </si>
  <si>
    <t>Peng Logistics</t>
  </si>
  <si>
    <t>Local PH company</t>
  </si>
  <si>
    <t>Same-day, bulk, e-commerce, documents</t>
  </si>
  <si>
    <t>SpeedMax</t>
  </si>
  <si>
    <t>Local (HQ in PH)</t>
  </si>
  <si>
    <t>Express, e-commerce fulfilment, insured</t>
  </si>
  <si>
    <t>GIG Logistics (GIGGo)</t>
  </si>
  <si>
    <t>National</t>
  </si>
  <si>
    <t>Very Strong (12+ branches)</t>
  </si>
  <si>
    <t>Interstate + same-day, corporate, walk-in</t>
  </si>
  <si>
    <t>Kwik</t>
  </si>
  <si>
    <t>National same-day</t>
  </si>
  <si>
    <t>Present in PH</t>
  </si>
  <si>
    <t>Business same-day bike/van</t>
  </si>
  <si>
    <t>Travo / Bolt Send</t>
  </si>
  <si>
    <t>Platform / App</t>
  </si>
  <si>
    <t>Available</t>
  </si>
  <si>
    <t>On-demand parcels, multi-service</t>
  </si>
  <si>
    <t>Independent WhatsApp riders</t>
  </si>
  <si>
    <t>Informal</t>
  </si>
  <si>
    <t>Widespread</t>
  </si>
  <si>
    <t>Cheap but trust risk (ghost riders)</t>
  </si>
  <si>
    <t>DEMAND DRIVERS</t>
  </si>
  <si>
    <t>Oil &amp; gas companies and service firms | E-commerce / social sellers | SMEs &amp; offices (documents) | Personal errands | Restaurant off-platform food | Interstate to/from PH</t>
  </si>
  <si>
    <t>1. Trust layer (verified riders + live tracking + proof of delivery) vs informal WhatsApp riders</t>
  </si>
  <si>
    <t>2. Let existing Keyen mobility drivers also accept delivery jobs (higher utilisation)</t>
  </si>
  <si>
    <t>3. Transparent upfront pricing and ratings</t>
  </si>
  <si>
    <t>4. Corporate retainers for oil/service companies and estates</t>
  </si>
  <si>
    <t>5. Same-day density in GRA–Trans-Amadi–Airport corridors</t>
  </si>
  <si>
    <t>SAMPLE PRICING NOTES (Estimates)</t>
  </si>
  <si>
    <t>Intra-city same-day central PH often starts ~₦3,000–3,500+ depending on distance/size (local providers). Interstate (e.g. Lagos–PH) typically ₦8,000–20,000 for small-medium parcels. Exact quotes are distance- and weight-based.</t>
  </si>
  <si>
    <t>SHARED RIDES / CARPOOLING – PORT HARCOURT</t>
  </si>
  <si>
    <t>CURRENT STATE</t>
  </si>
  <si>
    <t>Formal app-based shared-ride / pooling products (classic Uber Pool style) have limited visible scale in Port Harcourt as of 2026 research. Bolt and inDrive primarily offer private rides. Informal shared taxis and negotiated 'drop' arrangements exist on major corridors.</t>
  </si>
  <si>
    <t>IMPLICATION FOR KEYEN</t>
  </si>
  <si>
    <t>Lower near-term priority than ride-hailing or delivery. Could be tested later as a low-price option on high-density corridors (UNIPORT axis, GRA–Trans-Amadi) once core private-ride density is established. Risk of diluting driver earnings if not carefully designed.</t>
  </si>
  <si>
    <t>RECOMMENDATION</t>
  </si>
  <si>
    <t>Do not prioritise shared rides for initial PH launch. Revisit only after private rides + delivery verticals show healthy utilisation and driver retention.</t>
  </si>
  <si>
    <t>MULTI-SERVICE OPPORTUNITY SUMMARY – PORT HARCOURT</t>
  </si>
  <si>
    <t>PRIORITY RANKING FOR KEYEN</t>
  </si>
  <si>
    <t>Service</t>
  </si>
  <si>
    <t>Market Maturity</t>
  </si>
  <si>
    <t>Opportunity for Keyen</t>
  </si>
  <si>
    <t>Suggested Priority</t>
  </si>
  <si>
    <t>Rationale</t>
  </si>
  <si>
    <t>Ride-hailing (private)</t>
  </si>
  <si>
    <t>Medium</t>
  </si>
  <si>
    <t>Strong (driver economics + reliability)</t>
  </si>
  <si>
    <t>1 – Highest</t>
  </si>
  <si>
    <t>Already analysed; core mobility product</t>
  </si>
  <si>
    <t>Package / Same-day Dispatch</t>
  </si>
  <si>
    <t>Fragmented</t>
  </si>
  <si>
    <t>Strong (trust + multi-homing)</t>
  </si>
  <si>
    <t>2 – High</t>
  </si>
  <si>
    <t>Oil/gas + e-commerce demand; pairs well with drivers</t>
  </si>
  <si>
    <t>Medium-Growing</t>
  </si>
  <si>
    <t>Medium (Chowdeck leads)</t>
  </si>
  <si>
    <t>Good (courier economics + local depth)</t>
  </si>
  <si>
    <t>3 – High</t>
  </si>
  <si>
    <t>Growing; can share rider pool with mobility</t>
  </si>
  <si>
    <t>Shared Rides / Pool</t>
  </si>
  <si>
    <t>Low</t>
  </si>
  <si>
    <t>Limited near-term</t>
  </si>
  <si>
    <t>4 – Later</t>
  </si>
  <si>
    <t>Immature; risk to driver earnings</t>
  </si>
  <si>
    <t>STRATEGIC IMPLICATION</t>
  </si>
  <si>
    <t>Best path: Launch private ride-hailing first (or in parallel with light package dispatch). Use the same driver/rider pool for deliveries to improve daily earnings and utilisation. Food delivery can follow once courier density and restaurant partnerships are proven. Shared rides only as a later experiment.</t>
  </si>
  <si>
    <t>LAUNCH COST NOTE</t>
  </si>
  <si>
    <t>Adding delivery verticals increases courier onboarding, restaurant/vendor BD, and support costs, but can share many fixed costs (ops team, tech, office) with ride-hailing. Incremental 3-month cost for a focused delivery pilot is estimated lower than a full second independent launch if multi-homing is designed from day one. Detailed incremental modelling can be added on request.</t>
  </si>
  <si>
    <t>07_Food_Delivery</t>
  </si>
  <si>
    <t>08_Package_Dispatch</t>
  </si>
  <si>
    <t>09_Shared_Rides</t>
  </si>
  <si>
    <t>10_MultiService_Opportunity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</si>
</sst>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quot;(₦&quot;#,##0\);\-"/>
    <numFmt numFmtId="165" formatCode="0.0%"/>
  </numFmts>
  <fonts count="22" x14ac:knownFonts="1">
    <font>
      <sz val="11"/>
      <color theme="1"/>
      <name val="Calibri"/>
      <family val="2"/>
      <charset val="1"/>
    </font>
    <font>
      <b/>
      <sz val="16"/>
      <color rgb="FF1F4E79"/>
      <name val="Arial"/>
      <charset val="1"/>
    </font>
    <font>
      <i/>
      <sz val="11"/>
      <name val="Arial"/>
      <charset val="1"/>
    </font>
    <font>
      <b/>
      <sz val="11"/>
      <name val="Arial"/>
      <charset val="1"/>
    </font>
    <font>
      <sz val="10"/>
      <color rgb="FF0000FF"/>
      <name val="Arial"/>
      <charset val="1"/>
    </font>
    <font>
      <sz val="10"/>
      <color rgb="FF000000"/>
      <name val="Arial"/>
      <charset val="1"/>
    </font>
    <font>
      <sz val="10"/>
      <color rgb="FF008000"/>
      <name val="Arial"/>
      <charset val="1"/>
    </font>
    <font>
      <b/>
      <sz val="10"/>
      <name val="Arial"/>
      <charset val="1"/>
    </font>
    <font>
      <sz val="10"/>
      <name val="Arial"/>
      <charset val="1"/>
    </font>
    <font>
      <b/>
      <sz val="14"/>
      <color rgb="FF1F4E79"/>
      <name val="Arial"/>
      <charset val="1"/>
    </font>
    <font>
      <b/>
      <sz val="11"/>
      <color rgb="FFFFFFFF"/>
      <name val="Arial"/>
      <charset val="1"/>
    </font>
    <font>
      <b/>
      <sz val="10"/>
      <color rgb="FFFFFFFF"/>
      <name val="Arial"/>
      <charset val="1"/>
    </font>
    <font>
      <b/>
      <sz val="9"/>
      <color rgb="FFFFFFFF"/>
      <name val="Arial"/>
      <charset val="1"/>
    </font>
    <font>
      <i/>
      <sz val="9"/>
      <name val="Arial"/>
      <charset val="1"/>
    </font>
    <font>
      <sz val="8"/>
      <name val="Arial"/>
      <charset val="1"/>
    </font>
    <font>
      <b/>
      <sz val="14"/>
      <color rgb="FF1F4E79"/>
      <name val="Arial"/>
    </font>
    <font>
      <b/>
      <sz val="11"/>
      <color rgb="FFFFFFFF"/>
      <name val="Arial"/>
    </font>
    <font>
      <b/>
      <sz val="9"/>
      <color rgb="FFFFFFFF"/>
      <name val="Arial"/>
    </font>
    <font>
      <sz val="10"/>
      <name val="Arial"/>
    </font>
    <font>
      <sz val="8"/>
      <name val="Arial"/>
    </font>
    <font>
      <b/>
      <sz val="9"/>
      <color rgb="FF1F4E79"/>
      <name val="Arial"/>
    </font>
    <font>
      <b/>
      <sz val="11"/>
      <color theme="1"/>
      <name val="Calibri"/>
      <family val="2"/>
    </font>
  </fonts>
  <fills count="15">
    <fill>
      <patternFill patternType="none"/>
    </fill>
    <fill>
      <patternFill patternType="gray125"/>
    </fill>
    <fill>
      <patternFill patternType="solid">
        <fgColor rgb="FFFFFF00"/>
        <bgColor rgb="FFFFFF00"/>
      </patternFill>
    </fill>
    <fill>
      <patternFill patternType="solid">
        <fgColor rgb="FFDDEBF7"/>
        <bgColor rgb="FFE2EFDA"/>
      </patternFill>
    </fill>
    <fill>
      <patternFill patternType="solid">
        <fgColor rgb="FFFCE4D6"/>
        <bgColor rgb="FFF2F2F2"/>
      </patternFill>
    </fill>
    <fill>
      <patternFill patternType="solid">
        <fgColor rgb="FF2E75B6"/>
        <bgColor rgb="FF0066CC"/>
      </patternFill>
    </fill>
    <fill>
      <patternFill patternType="solid">
        <fgColor rgb="FF1F4E79"/>
        <bgColor rgb="FF003366"/>
      </patternFill>
    </fill>
    <fill>
      <patternFill patternType="solid">
        <fgColor rgb="FFF2F2F2"/>
        <bgColor rgb="FFE2EFDA"/>
      </patternFill>
    </fill>
    <fill>
      <patternFill patternType="solid">
        <fgColor rgb="FFC00000"/>
        <bgColor rgb="FF800000"/>
      </patternFill>
    </fill>
    <fill>
      <patternFill patternType="solid">
        <fgColor rgb="FFE2EFDA"/>
        <bgColor rgb="FFDDEBF7"/>
      </patternFill>
    </fill>
    <fill>
      <patternFill patternType="solid">
        <fgColor rgb="FF2E75B6"/>
      </patternFill>
    </fill>
    <fill>
      <patternFill patternType="solid">
        <fgColor rgb="FF1F4E79"/>
      </patternFill>
    </fill>
    <fill>
      <patternFill patternType="solid">
        <fgColor rgb="FFDDEBF7"/>
      </patternFill>
    </fill>
    <fill>
      <patternFill patternType="solid">
        <fgColor rgb="FFFCE4D6"/>
      </patternFill>
    </fill>
    <fill>
      <patternFill patternType="solid">
        <fgColor rgb="FFE2EFDA"/>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80">
    <xf numFmtId="0" fontId="0" fillId="0" borderId="0" xfId="0"/>
    <xf numFmtId="0" fontId="2" fillId="0" borderId="0" xfId="0" applyFont="1"/>
    <xf numFmtId="0" fontId="3" fillId="0" borderId="0" xfId="0" applyFont="1"/>
    <xf numFmtId="0" fontId="0" fillId="0" borderId="0" xfId="0" applyAlignment="1">
      <alignment wrapText="1"/>
    </xf>
    <xf numFmtId="0" fontId="4" fillId="2" borderId="0" xfId="0" applyFont="1" applyFill="1"/>
    <xf numFmtId="0" fontId="5" fillId="0" borderId="0" xfId="0" applyFont="1"/>
    <xf numFmtId="0" fontId="6" fillId="0" borderId="0" xfId="0" applyFont="1"/>
    <xf numFmtId="0" fontId="0" fillId="3" borderId="0" xfId="0" applyFill="1"/>
    <xf numFmtId="0" fontId="0" fillId="4" borderId="0" xfId="0" applyFill="1"/>
    <xf numFmtId="0" fontId="7" fillId="0" borderId="0" xfId="0" applyFont="1"/>
    <xf numFmtId="0" fontId="8" fillId="0" borderId="0" xfId="0" applyFont="1"/>
    <xf numFmtId="0" fontId="10" fillId="5" borderId="0" xfId="0" applyFont="1" applyFill="1"/>
    <xf numFmtId="0" fontId="11" fillId="6" borderId="1" xfId="0" applyFont="1" applyFill="1" applyBorder="1"/>
    <xf numFmtId="0" fontId="8" fillId="3" borderId="1" xfId="0" applyFont="1" applyFill="1" applyBorder="1"/>
    <xf numFmtId="3" fontId="8" fillId="3" borderId="1" xfId="0" applyNumberFormat="1" applyFont="1" applyFill="1" applyBorder="1"/>
    <xf numFmtId="0" fontId="8" fillId="4" borderId="1" xfId="0" applyFont="1" applyFill="1" applyBorder="1"/>
    <xf numFmtId="3" fontId="8" fillId="4" borderId="1" xfId="0" applyNumberFormat="1" applyFont="1" applyFill="1" applyBorder="1"/>
    <xf numFmtId="0" fontId="12" fillId="6" borderId="1" xfId="0" applyFont="1" applyFill="1" applyBorder="1" applyAlignment="1">
      <alignment horizontal="center" wrapText="1"/>
    </xf>
    <xf numFmtId="0" fontId="8" fillId="3" borderId="1" xfId="0" applyFont="1" applyFill="1" applyBorder="1" applyAlignment="1">
      <alignment vertical="center" wrapText="1"/>
    </xf>
    <xf numFmtId="0" fontId="8" fillId="4" borderId="1" xfId="0" applyFont="1" applyFill="1" applyBorder="1" applyAlignment="1">
      <alignment vertical="center" wrapText="1"/>
    </xf>
    <xf numFmtId="0" fontId="12" fillId="6" borderId="1" xfId="0" applyFont="1" applyFill="1" applyBorder="1" applyAlignment="1">
      <alignment wrapText="1"/>
    </xf>
    <xf numFmtId="0" fontId="13" fillId="0" borderId="0" xfId="0" applyFont="1"/>
    <xf numFmtId="0" fontId="14" fillId="3" borderId="1" xfId="0" applyFont="1" applyFill="1" applyBorder="1" applyAlignment="1">
      <alignment vertical="center" wrapText="1"/>
    </xf>
    <xf numFmtId="0" fontId="14" fillId="4" borderId="1" xfId="0" applyFont="1" applyFill="1" applyBorder="1" applyAlignment="1">
      <alignment vertical="center" wrapText="1"/>
    </xf>
    <xf numFmtId="0" fontId="16" fillId="10" borderId="0" xfId="0" applyFont="1" applyFill="1"/>
    <xf numFmtId="0" fontId="17" fillId="11" borderId="2" xfId="0" applyFont="1" applyFill="1" applyBorder="1"/>
    <xf numFmtId="0" fontId="18" fillId="12" borderId="2" xfId="0" applyFont="1" applyFill="1" applyBorder="1" applyAlignment="1">
      <alignment wrapText="1"/>
    </xf>
    <xf numFmtId="0" fontId="18" fillId="13" borderId="2" xfId="0" applyFont="1" applyFill="1" applyBorder="1" applyAlignment="1">
      <alignment wrapText="1"/>
    </xf>
    <xf numFmtId="0" fontId="0" fillId="13" borderId="0" xfId="0" applyFill="1" applyAlignment="1">
      <alignment wrapText="1"/>
    </xf>
    <xf numFmtId="0" fontId="0" fillId="14" borderId="0" xfId="0" applyFill="1"/>
    <xf numFmtId="0" fontId="17" fillId="11" borderId="2" xfId="0" applyFont="1" applyFill="1" applyBorder="1" applyAlignment="1">
      <alignment wrapText="1"/>
    </xf>
    <xf numFmtId="0" fontId="18" fillId="14" borderId="2" xfId="0" applyFont="1" applyFill="1" applyBorder="1" applyAlignment="1">
      <alignment vertical="center" wrapText="1"/>
    </xf>
    <xf numFmtId="0" fontId="18" fillId="12" borderId="2" xfId="0" applyFont="1" applyFill="1" applyBorder="1" applyAlignment="1">
      <alignment vertical="center" wrapText="1"/>
    </xf>
    <xf numFmtId="0" fontId="18" fillId="13" borderId="2" xfId="0" applyFont="1" applyFill="1" applyBorder="1" applyAlignment="1">
      <alignment vertical="center" wrapText="1"/>
    </xf>
    <xf numFmtId="0" fontId="0" fillId="14" borderId="0" xfId="0" applyFill="1" applyAlignment="1">
      <alignment wrapText="1"/>
    </xf>
    <xf numFmtId="0" fontId="19" fillId="12" borderId="2" xfId="0" applyFont="1" applyFill="1" applyBorder="1" applyAlignment="1">
      <alignment vertical="center" wrapText="1"/>
    </xf>
    <xf numFmtId="0" fontId="19" fillId="13" borderId="2" xfId="0" applyFont="1" applyFill="1" applyBorder="1" applyAlignment="1">
      <alignment vertical="center" wrapText="1"/>
    </xf>
    <xf numFmtId="0" fontId="19" fillId="14" borderId="2" xfId="0" applyFont="1" applyFill="1" applyBorder="1" applyAlignment="1">
      <alignment vertical="center" wrapText="1"/>
    </xf>
    <xf numFmtId="0" fontId="1" fillId="0" borderId="0" xfId="0" applyFont="1"/>
    <xf numFmtId="0" fontId="0" fillId="0" borderId="0" xfId="0"/>
    <xf numFmtId="0" fontId="0" fillId="0" borderId="0" xfId="0" applyAlignment="1">
      <alignment wrapText="1"/>
    </xf>
    <xf numFmtId="0" fontId="9" fillId="0" borderId="0" xfId="0" applyFont="1"/>
    <xf numFmtId="0" fontId="0" fillId="4" borderId="0" xfId="0" applyFill="1" applyAlignment="1">
      <alignment wrapText="1"/>
    </xf>
    <xf numFmtId="0" fontId="20" fillId="9" borderId="1" xfId="0" applyFont="1" applyFill="1" applyBorder="1" applyAlignment="1">
      <alignment vertical="center" wrapText="1"/>
    </xf>
    <xf numFmtId="0" fontId="0" fillId="0" borderId="3" xfId="0" applyBorder="1"/>
    <xf numFmtId="0" fontId="0" fillId="0" borderId="4" xfId="0" applyBorder="1"/>
    <xf numFmtId="0" fontId="17" fillId="11" borderId="2" xfId="0" applyFont="1" applyFill="1" applyBorder="1"/>
    <xf numFmtId="0" fontId="0" fillId="13" borderId="0" xfId="0" applyFill="1" applyAlignment="1">
      <alignment wrapText="1"/>
    </xf>
    <xf numFmtId="0" fontId="18" fillId="12" borderId="2" xfId="0" applyFont="1" applyFill="1" applyBorder="1" applyAlignment="1">
      <alignment wrapText="1"/>
    </xf>
    <xf numFmtId="0" fontId="15" fillId="0" borderId="0" xfId="0" applyFont="1"/>
    <xf numFmtId="0" fontId="16" fillId="10" borderId="0" xfId="0" applyFont="1" applyFill="1" applyAlignment="1">
      <alignment wrapText="1"/>
    </xf>
    <xf numFmtId="0" fontId="21" fillId="0" borderId="0" xfId="0" applyFont="1"/>
    <xf numFmtId="164" fontId="5" fillId="0" borderId="1" xfId="0" applyNumberFormat="1" applyFont="1" applyBorder="1" applyProtection="1">
      <protection hidden="1"/>
    </xf>
    <xf numFmtId="0" fontId="9" fillId="0" borderId="0" xfId="0" applyFont="1" applyProtection="1">
      <protection locked="0" hidden="1"/>
    </xf>
    <xf numFmtId="0" fontId="0" fillId="0" borderId="0" xfId="0" applyProtection="1">
      <protection locked="0" hidden="1"/>
    </xf>
    <xf numFmtId="0" fontId="0" fillId="0" borderId="0" xfId="0" applyProtection="1">
      <protection locked="0" hidden="1"/>
    </xf>
    <xf numFmtId="0" fontId="10" fillId="5" borderId="0" xfId="0" applyFont="1" applyFill="1" applyProtection="1">
      <protection locked="0" hidden="1"/>
    </xf>
    <xf numFmtId="0" fontId="12" fillId="6" borderId="1" xfId="0" applyFont="1" applyFill="1" applyBorder="1" applyAlignment="1" applyProtection="1">
      <alignment wrapText="1"/>
      <protection locked="0" hidden="1"/>
    </xf>
    <xf numFmtId="0" fontId="8" fillId="4" borderId="1" xfId="0" applyFont="1" applyFill="1" applyBorder="1" applyAlignment="1" applyProtection="1">
      <alignment wrapText="1"/>
      <protection locked="0" hidden="1"/>
    </xf>
    <xf numFmtId="0" fontId="8" fillId="3" borderId="1" xfId="0" applyFont="1" applyFill="1" applyBorder="1" applyAlignment="1" applyProtection="1">
      <alignment wrapText="1"/>
      <protection locked="0" hidden="1"/>
    </xf>
    <xf numFmtId="0" fontId="3" fillId="0" borderId="0" xfId="0" applyFont="1" applyProtection="1">
      <protection locked="0" hidden="1"/>
    </xf>
    <xf numFmtId="164" fontId="4" fillId="2" borderId="0" xfId="0" applyNumberFormat="1" applyFont="1" applyFill="1" applyProtection="1">
      <protection locked="0" hidden="1"/>
    </xf>
    <xf numFmtId="0" fontId="12" fillId="6" borderId="1" xfId="0" applyFont="1" applyFill="1" applyBorder="1" applyProtection="1">
      <protection locked="0" hidden="1"/>
    </xf>
    <xf numFmtId="0" fontId="0" fillId="0" borderId="1" xfId="0" applyBorder="1" applyProtection="1">
      <protection locked="0" hidden="1"/>
    </xf>
    <xf numFmtId="165" fontId="4" fillId="2" borderId="1" xfId="0" applyNumberFormat="1" applyFont="1" applyFill="1" applyBorder="1" applyProtection="1">
      <protection locked="0" hidden="1"/>
    </xf>
    <xf numFmtId="0" fontId="13" fillId="0" borderId="0" xfId="0" applyFont="1" applyProtection="1">
      <protection locked="0" hidden="1"/>
    </xf>
    <xf numFmtId="0" fontId="0" fillId="0" borderId="0" xfId="0" applyAlignment="1" applyProtection="1">
      <alignment wrapText="1"/>
      <protection locked="0" hidden="1"/>
    </xf>
    <xf numFmtId="0" fontId="11" fillId="6" borderId="1" xfId="0" applyFont="1" applyFill="1" applyBorder="1" applyProtection="1">
      <protection locked="0" hidden="1"/>
    </xf>
    <xf numFmtId="0" fontId="8" fillId="0" borderId="1" xfId="0" applyFont="1" applyBorder="1" applyProtection="1">
      <protection locked="0" hidden="1"/>
    </xf>
    <xf numFmtId="3" fontId="4" fillId="2" borderId="1" xfId="0" applyNumberFormat="1" applyFont="1" applyFill="1" applyBorder="1" applyProtection="1">
      <protection locked="0" hidden="1"/>
    </xf>
    <xf numFmtId="0" fontId="13" fillId="0" borderId="1" xfId="0" applyFont="1" applyBorder="1" applyProtection="1">
      <protection locked="0" hidden="1"/>
    </xf>
    <xf numFmtId="0" fontId="7" fillId="7" borderId="1" xfId="0" applyFont="1" applyFill="1" applyBorder="1" applyProtection="1">
      <protection locked="0" hidden="1"/>
    </xf>
    <xf numFmtId="0" fontId="10" fillId="8" borderId="1" xfId="0" applyFont="1" applyFill="1" applyBorder="1" applyProtection="1">
      <protection locked="0" hidden="1"/>
    </xf>
    <xf numFmtId="164" fontId="7" fillId="7" borderId="1" xfId="0" applyNumberFormat="1" applyFont="1" applyFill="1" applyBorder="1" applyProtection="1">
      <protection hidden="1"/>
    </xf>
    <xf numFmtId="164" fontId="10" fillId="8" borderId="1" xfId="0" applyNumberFormat="1" applyFont="1" applyFill="1" applyBorder="1" applyProtection="1">
      <protection hidden="1"/>
    </xf>
    <xf numFmtId="164" fontId="4" fillId="2" borderId="1" xfId="0" applyNumberFormat="1" applyFont="1" applyFill="1" applyBorder="1" applyProtection="1">
      <protection locked="0" hidden="1"/>
    </xf>
    <xf numFmtId="0" fontId="4" fillId="2" borderId="0" xfId="0" applyFont="1" applyFill="1" applyProtection="1">
      <protection locked="0" hidden="1"/>
    </xf>
    <xf numFmtId="165" fontId="4" fillId="2" borderId="0" xfId="0" applyNumberFormat="1" applyFont="1" applyFill="1" applyProtection="1">
      <protection locked="0" hidden="1"/>
    </xf>
    <xf numFmtId="0" fontId="5" fillId="0" borderId="1" xfId="0" applyFont="1" applyBorder="1" applyProtection="1">
      <protection hidden="1"/>
    </xf>
    <xf numFmtId="164" fontId="5" fillId="9" borderId="0" xfId="0" applyNumberFormat="1" applyFont="1" applyFill="1" applyProtection="1">
      <protection hidden="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3"/>
  <sheetViews>
    <sheetView topLeftCell="A13" zoomScaleNormal="100" workbookViewId="0">
      <selection activeCell="A35" sqref="A35:B38"/>
    </sheetView>
  </sheetViews>
  <sheetFormatPr defaultColWidth="8.6328125" defaultRowHeight="14.5" x14ac:dyDescent="0.35"/>
  <cols>
    <col min="1" max="1" width="28" customWidth="1"/>
    <col min="2" max="2" width="75" customWidth="1"/>
    <col min="3" max="7" width="14" customWidth="1"/>
  </cols>
  <sheetData>
    <row r="1" spans="1:7" ht="19.75" customHeight="1" x14ac:dyDescent="0.4">
      <c r="A1" s="38" t="s">
        <v>0</v>
      </c>
      <c r="B1" s="39"/>
      <c r="C1" s="39"/>
      <c r="D1" s="39"/>
      <c r="E1" s="39"/>
      <c r="F1" s="39"/>
      <c r="G1" s="39"/>
    </row>
    <row r="2" spans="1:7" ht="15" customHeight="1" x14ac:dyDescent="0.35">
      <c r="A2" s="1" t="s">
        <v>1</v>
      </c>
    </row>
    <row r="4" spans="1:7" ht="15" customHeight="1" x14ac:dyDescent="0.35">
      <c r="A4" s="2" t="s">
        <v>2</v>
      </c>
    </row>
    <row r="5" spans="1:7" ht="45" customHeight="1" x14ac:dyDescent="0.35">
      <c r="A5" s="40" t="s">
        <v>3</v>
      </c>
      <c r="B5" s="39"/>
      <c r="C5" s="39"/>
      <c r="D5" s="39"/>
      <c r="E5" s="39"/>
      <c r="F5" s="39"/>
      <c r="G5" s="39"/>
    </row>
    <row r="7" spans="1:7" ht="15" customHeight="1" x14ac:dyDescent="0.35">
      <c r="A7" s="2" t="s">
        <v>4</v>
      </c>
    </row>
    <row r="8" spans="1:7" ht="15" customHeight="1" x14ac:dyDescent="0.35">
      <c r="A8" s="4" t="s">
        <v>5</v>
      </c>
    </row>
    <row r="9" spans="1:7" ht="15" customHeight="1" x14ac:dyDescent="0.35">
      <c r="A9" s="5" t="s">
        <v>6</v>
      </c>
    </row>
    <row r="10" spans="1:7" ht="15" customHeight="1" x14ac:dyDescent="0.35">
      <c r="A10" s="6" t="s">
        <v>7</v>
      </c>
    </row>
    <row r="11" spans="1:7" ht="15" customHeight="1" x14ac:dyDescent="0.35">
      <c r="A11" s="7" t="s">
        <v>8</v>
      </c>
    </row>
    <row r="12" spans="1:7" ht="15" customHeight="1" x14ac:dyDescent="0.35">
      <c r="A12" s="8" t="s">
        <v>9</v>
      </c>
    </row>
    <row r="14" spans="1:7" ht="15" customHeight="1" x14ac:dyDescent="0.35">
      <c r="A14" s="2" t="s">
        <v>10</v>
      </c>
    </row>
    <row r="15" spans="1:7" ht="15" customHeight="1" x14ac:dyDescent="0.35">
      <c r="A15" s="9" t="s">
        <v>11</v>
      </c>
      <c r="B15" s="10" t="s">
        <v>12</v>
      </c>
    </row>
    <row r="16" spans="1:7" ht="15" customHeight="1" x14ac:dyDescent="0.35">
      <c r="A16" s="9" t="s">
        <v>13</v>
      </c>
      <c r="B16" s="10" t="s">
        <v>14</v>
      </c>
    </row>
    <row r="17" spans="1:2" ht="15" customHeight="1" x14ac:dyDescent="0.35">
      <c r="A17" s="9" t="s">
        <v>15</v>
      </c>
      <c r="B17" s="10" t="s">
        <v>16</v>
      </c>
    </row>
    <row r="18" spans="1:2" ht="15" customHeight="1" x14ac:dyDescent="0.35">
      <c r="A18" s="9" t="s">
        <v>17</v>
      </c>
      <c r="B18" s="10" t="s">
        <v>18</v>
      </c>
    </row>
    <row r="19" spans="1:2" ht="15" customHeight="1" x14ac:dyDescent="0.35">
      <c r="A19" s="9" t="s">
        <v>19</v>
      </c>
      <c r="B19" s="10" t="s">
        <v>20</v>
      </c>
    </row>
    <row r="20" spans="1:2" ht="15" customHeight="1" x14ac:dyDescent="0.35">
      <c r="A20" s="9" t="s">
        <v>21</v>
      </c>
      <c r="B20" s="10" t="s">
        <v>22</v>
      </c>
    </row>
    <row r="21" spans="1:2" ht="15" customHeight="1" x14ac:dyDescent="0.35">
      <c r="A21" s="9" t="s">
        <v>23</v>
      </c>
      <c r="B21" s="10" t="s">
        <v>24</v>
      </c>
    </row>
    <row r="22" spans="1:2" ht="15" customHeight="1" x14ac:dyDescent="0.35">
      <c r="A22" s="51" t="s">
        <v>577</v>
      </c>
      <c r="B22" t="s">
        <v>31</v>
      </c>
    </row>
    <row r="23" spans="1:2" ht="15" customHeight="1" x14ac:dyDescent="0.35">
      <c r="A23" s="51" t="s">
        <v>578</v>
      </c>
      <c r="B23" t="s">
        <v>32</v>
      </c>
    </row>
    <row r="24" spans="1:2" ht="15" customHeight="1" x14ac:dyDescent="0.35">
      <c r="A24" s="51" t="s">
        <v>579</v>
      </c>
      <c r="B24" t="s">
        <v>33</v>
      </c>
    </row>
    <row r="25" spans="1:2" ht="15" customHeight="1" x14ac:dyDescent="0.35">
      <c r="A25" s="51" t="s">
        <v>580</v>
      </c>
      <c r="B25" t="s">
        <v>34</v>
      </c>
    </row>
    <row r="26" spans="1:2" ht="15" customHeight="1" x14ac:dyDescent="0.35">
      <c r="A26" s="9"/>
      <c r="B26" s="10"/>
    </row>
    <row r="28" spans="1:2" ht="15" customHeight="1" x14ac:dyDescent="0.35">
      <c r="A28" s="2" t="s">
        <v>25</v>
      </c>
    </row>
    <row r="29" spans="1:2" ht="15" customHeight="1" x14ac:dyDescent="0.35">
      <c r="A29" t="s">
        <v>26</v>
      </c>
    </row>
    <row r="30" spans="1:2" ht="15" customHeight="1" x14ac:dyDescent="0.35">
      <c r="A30" t="s">
        <v>27</v>
      </c>
    </row>
    <row r="31" spans="1:2" ht="15" customHeight="1" x14ac:dyDescent="0.35">
      <c r="A31" t="s">
        <v>28</v>
      </c>
    </row>
    <row r="32" spans="1:2" ht="15" customHeight="1" x14ac:dyDescent="0.35">
      <c r="A32" t="s">
        <v>29</v>
      </c>
    </row>
    <row r="33" spans="1:1" ht="15" customHeight="1" x14ac:dyDescent="0.35">
      <c r="A33" t="s">
        <v>30</v>
      </c>
    </row>
  </sheetData>
  <mergeCells count="2">
    <mergeCell ref="A1:G1"/>
    <mergeCell ref="A5:G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4"/>
  <sheetViews>
    <sheetView zoomScaleNormal="100" workbookViewId="0">
      <selection sqref="A1:F1"/>
    </sheetView>
  </sheetViews>
  <sheetFormatPr defaultColWidth="8.6328125" defaultRowHeight="14.5" x14ac:dyDescent="0.35"/>
  <cols>
    <col min="1" max="1" width="38" customWidth="1"/>
    <col min="2" max="2" width="42" customWidth="1"/>
    <col min="3" max="3" width="18" customWidth="1"/>
    <col min="4" max="4" width="45" customWidth="1"/>
    <col min="5" max="5" width="18" customWidth="1"/>
    <col min="6" max="6" width="14" customWidth="1"/>
  </cols>
  <sheetData>
    <row r="1" spans="1:6" ht="17.399999999999999" customHeight="1" x14ac:dyDescent="0.4">
      <c r="A1" s="41" t="s">
        <v>35</v>
      </c>
      <c r="B1" s="39"/>
      <c r="C1" s="39"/>
      <c r="D1" s="39"/>
      <c r="E1" s="39"/>
      <c r="F1" s="39"/>
    </row>
    <row r="3" spans="1:6" ht="15" customHeight="1" x14ac:dyDescent="0.35">
      <c r="A3" s="11" t="s">
        <v>36</v>
      </c>
    </row>
    <row r="4" spans="1:6" ht="15" customHeight="1" x14ac:dyDescent="0.35">
      <c r="A4" s="12" t="s">
        <v>37</v>
      </c>
      <c r="B4" s="12" t="s">
        <v>38</v>
      </c>
      <c r="C4" s="12" t="s">
        <v>39</v>
      </c>
      <c r="D4" s="12" t="s">
        <v>40</v>
      </c>
      <c r="E4" s="12" t="s">
        <v>41</v>
      </c>
      <c r="F4" s="12" t="s">
        <v>42</v>
      </c>
    </row>
    <row r="5" spans="1:6" ht="15" customHeight="1" x14ac:dyDescent="0.35">
      <c r="A5" s="13" t="s">
        <v>43</v>
      </c>
      <c r="B5" s="14">
        <v>3950000</v>
      </c>
      <c r="C5" s="13" t="s">
        <v>44</v>
      </c>
      <c r="D5" s="13" t="s">
        <v>45</v>
      </c>
      <c r="E5" s="13" t="s">
        <v>46</v>
      </c>
      <c r="F5" s="13" t="s">
        <v>47</v>
      </c>
    </row>
    <row r="6" spans="1:6" ht="15" customHeight="1" x14ac:dyDescent="0.35">
      <c r="A6" s="15" t="s">
        <v>48</v>
      </c>
      <c r="B6" s="16">
        <v>2200000</v>
      </c>
      <c r="C6" s="15" t="s">
        <v>49</v>
      </c>
      <c r="D6" s="15" t="s">
        <v>50</v>
      </c>
      <c r="E6" s="15" t="s">
        <v>51</v>
      </c>
      <c r="F6" s="15" t="s">
        <v>52</v>
      </c>
    </row>
    <row r="7" spans="1:6" ht="15" customHeight="1" x14ac:dyDescent="0.35">
      <c r="A7" s="15" t="s">
        <v>53</v>
      </c>
      <c r="B7" s="16">
        <v>10000000</v>
      </c>
      <c r="C7" s="15" t="s">
        <v>54</v>
      </c>
      <c r="D7" s="15" t="s">
        <v>55</v>
      </c>
      <c r="E7" s="15" t="s">
        <v>51</v>
      </c>
      <c r="F7" s="15" t="s">
        <v>56</v>
      </c>
    </row>
    <row r="8" spans="1:6" ht="15" customHeight="1" x14ac:dyDescent="0.35">
      <c r="A8" s="15" t="s">
        <v>57</v>
      </c>
      <c r="B8" s="16">
        <v>772000</v>
      </c>
      <c r="C8" s="15" t="s">
        <v>58</v>
      </c>
      <c r="D8" s="15" t="s">
        <v>59</v>
      </c>
      <c r="E8" s="15" t="s">
        <v>51</v>
      </c>
      <c r="F8" s="15" t="s">
        <v>60</v>
      </c>
    </row>
    <row r="9" spans="1:6" ht="15" customHeight="1" x14ac:dyDescent="0.35">
      <c r="A9" s="15" t="s">
        <v>61</v>
      </c>
      <c r="B9" s="16">
        <v>897000</v>
      </c>
      <c r="C9" s="15" t="s">
        <v>58</v>
      </c>
      <c r="D9" s="15" t="s">
        <v>62</v>
      </c>
      <c r="E9" s="15" t="s">
        <v>51</v>
      </c>
      <c r="F9" s="15" t="s">
        <v>60</v>
      </c>
    </row>
    <row r="11" spans="1:6" ht="15" customHeight="1" x14ac:dyDescent="0.35">
      <c r="A11" s="11" t="s">
        <v>63</v>
      </c>
    </row>
    <row r="12" spans="1:6" ht="15" customHeight="1" x14ac:dyDescent="0.35">
      <c r="A12" s="12" t="s">
        <v>64</v>
      </c>
      <c r="B12" s="12" t="s">
        <v>65</v>
      </c>
      <c r="C12" s="12" t="s">
        <v>66</v>
      </c>
      <c r="D12" s="12" t="s">
        <v>40</v>
      </c>
      <c r="E12" s="12" t="s">
        <v>41</v>
      </c>
    </row>
    <row r="13" spans="1:6" ht="15" customHeight="1" x14ac:dyDescent="0.35">
      <c r="A13" s="13" t="s">
        <v>67</v>
      </c>
      <c r="B13" s="13" t="s">
        <v>68</v>
      </c>
      <c r="C13" s="13" t="s">
        <v>69</v>
      </c>
      <c r="D13" s="13" t="s">
        <v>70</v>
      </c>
      <c r="E13" s="13" t="s">
        <v>71</v>
      </c>
    </row>
    <row r="14" spans="1:6" ht="15" customHeight="1" x14ac:dyDescent="0.35">
      <c r="A14" s="13" t="s">
        <v>72</v>
      </c>
      <c r="B14" s="13" t="s">
        <v>73</v>
      </c>
      <c r="C14" s="13" t="s">
        <v>69</v>
      </c>
      <c r="D14" s="13" t="s">
        <v>74</v>
      </c>
      <c r="E14" s="13" t="s">
        <v>75</v>
      </c>
    </row>
    <row r="15" spans="1:6" ht="15" customHeight="1" x14ac:dyDescent="0.35">
      <c r="A15" s="13" t="s">
        <v>76</v>
      </c>
      <c r="B15" s="13" t="s">
        <v>77</v>
      </c>
      <c r="C15" s="13" t="s">
        <v>78</v>
      </c>
      <c r="D15" s="13" t="s">
        <v>79</v>
      </c>
      <c r="E15" s="13" t="s">
        <v>75</v>
      </c>
    </row>
    <row r="16" spans="1:6" ht="15" customHeight="1" x14ac:dyDescent="0.35">
      <c r="A16" s="13" t="s">
        <v>80</v>
      </c>
      <c r="B16" s="13" t="s">
        <v>81</v>
      </c>
      <c r="C16" s="13" t="s">
        <v>82</v>
      </c>
      <c r="D16" s="13" t="s">
        <v>83</v>
      </c>
      <c r="E16" s="13" t="s">
        <v>75</v>
      </c>
    </row>
    <row r="17" spans="1:5" ht="15" customHeight="1" x14ac:dyDescent="0.35">
      <c r="A17" s="15" t="s">
        <v>84</v>
      </c>
      <c r="B17" s="15" t="s">
        <v>85</v>
      </c>
      <c r="C17" s="15" t="s">
        <v>78</v>
      </c>
      <c r="D17" s="15" t="s">
        <v>86</v>
      </c>
      <c r="E17" s="15" t="s">
        <v>51</v>
      </c>
    </row>
    <row r="18" spans="1:5" ht="15" customHeight="1" x14ac:dyDescent="0.35">
      <c r="A18" s="15" t="s">
        <v>87</v>
      </c>
      <c r="B18" s="15" t="s">
        <v>88</v>
      </c>
      <c r="C18" s="15" t="s">
        <v>89</v>
      </c>
      <c r="D18" s="15" t="s">
        <v>90</v>
      </c>
      <c r="E18" s="15" t="s">
        <v>51</v>
      </c>
    </row>
    <row r="19" spans="1:5" ht="15" customHeight="1" x14ac:dyDescent="0.35">
      <c r="A19" s="15" t="s">
        <v>91</v>
      </c>
      <c r="B19" s="15" t="s">
        <v>92</v>
      </c>
      <c r="C19" s="15" t="s">
        <v>78</v>
      </c>
      <c r="D19" s="15" t="s">
        <v>93</v>
      </c>
      <c r="E19" s="15" t="s">
        <v>51</v>
      </c>
    </row>
    <row r="20" spans="1:5" ht="15" customHeight="1" x14ac:dyDescent="0.35">
      <c r="A20" s="15" t="s">
        <v>94</v>
      </c>
      <c r="B20" s="15" t="s">
        <v>95</v>
      </c>
      <c r="C20" s="15" t="s">
        <v>96</v>
      </c>
      <c r="D20" s="15" t="s">
        <v>97</v>
      </c>
      <c r="E20" s="15" t="s">
        <v>51</v>
      </c>
    </row>
    <row r="23" spans="1:5" ht="15" customHeight="1" x14ac:dyDescent="0.35">
      <c r="A23" s="11" t="s">
        <v>98</v>
      </c>
    </row>
    <row r="24" spans="1:5" ht="15" customHeight="1" x14ac:dyDescent="0.35">
      <c r="A24" s="42" t="s">
        <v>99</v>
      </c>
      <c r="B24" s="39"/>
      <c r="C24" s="39"/>
      <c r="D24" s="39"/>
      <c r="E24" s="39"/>
    </row>
  </sheetData>
  <mergeCells count="2">
    <mergeCell ref="A1:F1"/>
    <mergeCell ref="A24:E24"/>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7"/>
  <sheetViews>
    <sheetView zoomScaleNormal="100" workbookViewId="0">
      <selection sqref="A1:H1"/>
    </sheetView>
  </sheetViews>
  <sheetFormatPr defaultColWidth="8.6328125" defaultRowHeight="14.5" x14ac:dyDescent="0.35"/>
  <cols>
    <col min="1" max="1" width="16" customWidth="1"/>
    <col min="2" max="3" width="22" customWidth="1"/>
    <col min="4" max="4" width="28" customWidth="1"/>
    <col min="5" max="5" width="16" customWidth="1"/>
    <col min="6" max="6" width="28" customWidth="1"/>
    <col min="7" max="7" width="38" customWidth="1"/>
    <col min="8" max="8" width="14" customWidth="1"/>
  </cols>
  <sheetData>
    <row r="1" spans="1:8" ht="17.399999999999999" customHeight="1" x14ac:dyDescent="0.4">
      <c r="A1" s="41" t="s">
        <v>100</v>
      </c>
      <c r="B1" s="39"/>
      <c r="C1" s="39"/>
      <c r="D1" s="39"/>
      <c r="E1" s="39"/>
      <c r="F1" s="39"/>
      <c r="G1" s="39"/>
      <c r="H1" s="39"/>
    </row>
    <row r="3" spans="1:8" ht="15" customHeight="1" x14ac:dyDescent="0.35">
      <c r="A3" s="11" t="s">
        <v>101</v>
      </c>
    </row>
    <row r="4" spans="1:8" ht="15" customHeight="1" x14ac:dyDescent="0.35">
      <c r="A4" s="17" t="s">
        <v>102</v>
      </c>
      <c r="B4" s="17" t="s">
        <v>103</v>
      </c>
      <c r="C4" s="17" t="s">
        <v>104</v>
      </c>
      <c r="D4" s="17" t="s">
        <v>105</v>
      </c>
      <c r="E4" s="17" t="s">
        <v>106</v>
      </c>
      <c r="F4" s="17" t="s">
        <v>107</v>
      </c>
      <c r="G4" s="17" t="s">
        <v>108</v>
      </c>
      <c r="H4" s="17" t="s">
        <v>41</v>
      </c>
    </row>
    <row r="5" spans="1:8" ht="34.5" customHeight="1" x14ac:dyDescent="0.35">
      <c r="A5" s="18" t="s">
        <v>109</v>
      </c>
      <c r="B5" s="18" t="s">
        <v>110</v>
      </c>
      <c r="C5" s="18" t="s">
        <v>111</v>
      </c>
      <c r="D5" s="18" t="s">
        <v>112</v>
      </c>
      <c r="E5" s="18" t="s">
        <v>113</v>
      </c>
      <c r="F5" s="18" t="s">
        <v>114</v>
      </c>
      <c r="G5" s="18" t="s">
        <v>115</v>
      </c>
      <c r="H5" s="18" t="s">
        <v>75</v>
      </c>
    </row>
    <row r="6" spans="1:8" ht="34.5" customHeight="1" x14ac:dyDescent="0.35">
      <c r="A6" s="18" t="s">
        <v>116</v>
      </c>
      <c r="B6" s="18" t="s">
        <v>117</v>
      </c>
      <c r="C6" s="18" t="s">
        <v>118</v>
      </c>
      <c r="D6" s="18" t="s">
        <v>119</v>
      </c>
      <c r="E6" s="18" t="s">
        <v>120</v>
      </c>
      <c r="F6" s="18" t="s">
        <v>121</v>
      </c>
      <c r="G6" s="18" t="s">
        <v>122</v>
      </c>
      <c r="H6" s="18" t="s">
        <v>75</v>
      </c>
    </row>
    <row r="7" spans="1:8" ht="39.75" customHeight="1" x14ac:dyDescent="0.35">
      <c r="A7" s="18" t="s">
        <v>123</v>
      </c>
      <c r="B7" s="18" t="s">
        <v>124</v>
      </c>
      <c r="C7" s="18" t="s">
        <v>125</v>
      </c>
      <c r="D7" s="18" t="s">
        <v>126</v>
      </c>
      <c r="E7" s="18" t="s">
        <v>127</v>
      </c>
      <c r="F7" s="18" t="s">
        <v>128</v>
      </c>
      <c r="G7" s="18" t="s">
        <v>129</v>
      </c>
      <c r="H7" s="18" t="s">
        <v>75</v>
      </c>
    </row>
    <row r="8" spans="1:8" ht="30" customHeight="1" x14ac:dyDescent="0.35">
      <c r="A8" s="19" t="s">
        <v>130</v>
      </c>
      <c r="B8" s="19" t="s">
        <v>131</v>
      </c>
      <c r="C8" s="19" t="s">
        <v>132</v>
      </c>
      <c r="D8" s="19" t="s">
        <v>133</v>
      </c>
      <c r="E8" s="19" t="s">
        <v>133</v>
      </c>
      <c r="F8" s="19" t="s">
        <v>134</v>
      </c>
      <c r="G8" s="19" t="s">
        <v>135</v>
      </c>
      <c r="H8" s="19" t="s">
        <v>51</v>
      </c>
    </row>
    <row r="9" spans="1:8" ht="30" customHeight="1" x14ac:dyDescent="0.35">
      <c r="A9" s="18" t="s">
        <v>136</v>
      </c>
      <c r="B9" s="18" t="s">
        <v>137</v>
      </c>
      <c r="C9" s="18" t="s">
        <v>111</v>
      </c>
      <c r="D9" s="18" t="s">
        <v>138</v>
      </c>
      <c r="E9" s="18" t="s">
        <v>138</v>
      </c>
      <c r="F9" s="18" t="s">
        <v>139</v>
      </c>
      <c r="G9" s="18" t="s">
        <v>140</v>
      </c>
      <c r="H9" s="18" t="s">
        <v>141</v>
      </c>
    </row>
    <row r="12" spans="1:8" ht="15" customHeight="1" x14ac:dyDescent="0.35">
      <c r="A12" s="11" t="s">
        <v>142</v>
      </c>
    </row>
    <row r="13" spans="1:8" ht="15" customHeight="1" x14ac:dyDescent="0.35">
      <c r="A13" t="s">
        <v>143</v>
      </c>
    </row>
    <row r="14" spans="1:8" ht="15" customHeight="1" x14ac:dyDescent="0.35">
      <c r="A14" t="s">
        <v>144</v>
      </c>
    </row>
    <row r="15" spans="1:8" ht="15" customHeight="1" x14ac:dyDescent="0.35">
      <c r="A15" t="s">
        <v>145</v>
      </c>
    </row>
    <row r="16" spans="1:8" ht="15" customHeight="1" x14ac:dyDescent="0.35">
      <c r="A16" t="s">
        <v>146</v>
      </c>
    </row>
    <row r="17" spans="1:1" ht="15" customHeight="1" x14ac:dyDescent="0.35">
      <c r="A17" t="s">
        <v>147</v>
      </c>
    </row>
  </sheetData>
  <mergeCells count="1">
    <mergeCell ref="A1:H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6"/>
  <sheetViews>
    <sheetView topLeftCell="A6" zoomScaleNormal="100" workbookViewId="0">
      <selection activeCell="C21" sqref="C21"/>
    </sheetView>
  </sheetViews>
  <sheetFormatPr defaultColWidth="8.6328125" defaultRowHeight="14.5" x14ac:dyDescent="0.35"/>
  <cols>
    <col min="1" max="1" width="28" style="55" customWidth="1"/>
    <col min="2" max="2" width="16" style="55" customWidth="1"/>
    <col min="3" max="3" width="18" style="55" customWidth="1"/>
    <col min="4" max="5" width="26" style="55" customWidth="1"/>
    <col min="6" max="6" width="40" style="55" customWidth="1"/>
    <col min="7" max="7" width="22" style="55" customWidth="1"/>
    <col min="8" max="16384" width="8.6328125" style="55"/>
  </cols>
  <sheetData>
    <row r="1" spans="1:7" ht="17.399999999999999" customHeight="1" x14ac:dyDescent="0.4">
      <c r="A1" s="53" t="s">
        <v>148</v>
      </c>
      <c r="B1" s="54"/>
      <c r="C1" s="54"/>
      <c r="D1" s="54"/>
      <c r="E1" s="54"/>
      <c r="F1" s="54"/>
      <c r="G1" s="54"/>
    </row>
    <row r="3" spans="1:7" ht="15" customHeight="1" x14ac:dyDescent="0.35">
      <c r="A3" s="56" t="s">
        <v>149</v>
      </c>
    </row>
    <row r="4" spans="1:7" ht="15" customHeight="1" x14ac:dyDescent="0.35">
      <c r="A4" s="57" t="s">
        <v>150</v>
      </c>
      <c r="B4" s="57" t="s">
        <v>151</v>
      </c>
      <c r="C4" s="57" t="s">
        <v>152</v>
      </c>
      <c r="D4" s="57" t="s">
        <v>153</v>
      </c>
      <c r="E4" s="57" t="s">
        <v>154</v>
      </c>
      <c r="F4" s="57" t="s">
        <v>40</v>
      </c>
      <c r="G4" s="57" t="s">
        <v>41</v>
      </c>
    </row>
    <row r="5" spans="1:7" ht="15" customHeight="1" x14ac:dyDescent="0.35">
      <c r="A5" s="58" t="s">
        <v>155</v>
      </c>
      <c r="B5" s="58" t="s">
        <v>156</v>
      </c>
      <c r="C5" s="58" t="s">
        <v>157</v>
      </c>
      <c r="D5" s="58" t="s">
        <v>158</v>
      </c>
      <c r="E5" s="58" t="s">
        <v>159</v>
      </c>
      <c r="F5" s="58" t="s">
        <v>160</v>
      </c>
      <c r="G5" s="58" t="s">
        <v>51</v>
      </c>
    </row>
    <row r="6" spans="1:7" ht="23.9" customHeight="1" x14ac:dyDescent="0.35">
      <c r="A6" s="58" t="s">
        <v>161</v>
      </c>
      <c r="B6" s="58" t="s">
        <v>162</v>
      </c>
      <c r="C6" s="58" t="s">
        <v>163</v>
      </c>
      <c r="D6" s="58" t="s">
        <v>164</v>
      </c>
      <c r="E6" s="58" t="s">
        <v>165</v>
      </c>
      <c r="F6" s="58" t="s">
        <v>166</v>
      </c>
      <c r="G6" s="58" t="s">
        <v>167</v>
      </c>
    </row>
    <row r="7" spans="1:7" ht="15" customHeight="1" x14ac:dyDescent="0.35">
      <c r="A7" s="58" t="s">
        <v>168</v>
      </c>
      <c r="B7" s="58" t="s">
        <v>169</v>
      </c>
      <c r="C7" s="58" t="s">
        <v>170</v>
      </c>
      <c r="D7" s="58" t="s">
        <v>171</v>
      </c>
      <c r="E7" s="58" t="s">
        <v>171</v>
      </c>
      <c r="F7" s="58" t="s">
        <v>172</v>
      </c>
      <c r="G7" s="58" t="s">
        <v>51</v>
      </c>
    </row>
    <row r="8" spans="1:7" ht="23.9" customHeight="1" x14ac:dyDescent="0.35">
      <c r="A8" s="59" t="s">
        <v>173</v>
      </c>
      <c r="B8" s="59" t="s">
        <v>174</v>
      </c>
      <c r="C8" s="59" t="s">
        <v>175</v>
      </c>
      <c r="D8" s="59" t="s">
        <v>176</v>
      </c>
      <c r="E8" s="59" t="s">
        <v>177</v>
      </c>
      <c r="F8" s="59" t="s">
        <v>178</v>
      </c>
      <c r="G8" s="59" t="s">
        <v>179</v>
      </c>
    </row>
    <row r="11" spans="1:7" ht="15" customHeight="1" x14ac:dyDescent="0.35">
      <c r="A11" s="56" t="s">
        <v>180</v>
      </c>
    </row>
    <row r="12" spans="1:7" ht="15" customHeight="1" x14ac:dyDescent="0.35">
      <c r="A12" s="60" t="s">
        <v>181</v>
      </c>
    </row>
    <row r="13" spans="1:7" ht="15" customHeight="1" x14ac:dyDescent="0.35">
      <c r="A13" s="55" t="s">
        <v>182</v>
      </c>
      <c r="B13" s="61">
        <v>2000</v>
      </c>
      <c r="C13" s="55" t="s">
        <v>183</v>
      </c>
    </row>
    <row r="14" spans="1:7" ht="15" customHeight="1" x14ac:dyDescent="0.35">
      <c r="A14" s="55" t="s">
        <v>184</v>
      </c>
      <c r="B14" s="61">
        <v>700</v>
      </c>
      <c r="C14" s="55" t="s">
        <v>185</v>
      </c>
    </row>
    <row r="15" spans="1:7" ht="15" customHeight="1" x14ac:dyDescent="0.35">
      <c r="A15" s="55" t="s">
        <v>186</v>
      </c>
      <c r="B15" s="61">
        <v>100</v>
      </c>
    </row>
    <row r="17" spans="1:7" ht="15" customHeight="1" x14ac:dyDescent="0.35">
      <c r="A17" s="62" t="s">
        <v>102</v>
      </c>
      <c r="B17" s="62" t="s">
        <v>187</v>
      </c>
      <c r="C17" s="62" t="s">
        <v>188</v>
      </c>
      <c r="D17" s="62" t="s">
        <v>189</v>
      </c>
      <c r="E17" s="62" t="s">
        <v>190</v>
      </c>
    </row>
    <row r="18" spans="1:7" ht="15" customHeight="1" x14ac:dyDescent="0.35">
      <c r="A18" s="63" t="s">
        <v>109</v>
      </c>
      <c r="B18" s="64">
        <v>0.18</v>
      </c>
      <c r="C18" s="52">
        <f>B13*B18</f>
        <v>360</v>
      </c>
      <c r="D18" s="52">
        <f>B13-C18</f>
        <v>1640</v>
      </c>
      <c r="E18" s="52">
        <f>D18-B14-B15</f>
        <v>840</v>
      </c>
    </row>
    <row r="19" spans="1:7" ht="15" customHeight="1" x14ac:dyDescent="0.35">
      <c r="A19" s="63" t="s">
        <v>116</v>
      </c>
      <c r="B19" s="64">
        <v>0.09</v>
      </c>
      <c r="C19" s="52">
        <f>B13*B19</f>
        <v>180</v>
      </c>
      <c r="D19" s="52">
        <f>B13-C19</f>
        <v>1820</v>
      </c>
      <c r="E19" s="52">
        <f>D19-B14-B15</f>
        <v>1020</v>
      </c>
    </row>
    <row r="20" spans="1:7" ht="15" customHeight="1" x14ac:dyDescent="0.35">
      <c r="A20" s="63" t="s">
        <v>191</v>
      </c>
      <c r="B20" s="64">
        <v>0.08</v>
      </c>
      <c r="C20" s="52">
        <f>B13*B20</f>
        <v>160</v>
      </c>
      <c r="D20" s="52">
        <f>B13-C20</f>
        <v>1840</v>
      </c>
      <c r="E20" s="52">
        <f>D20-B14-B15</f>
        <v>1040</v>
      </c>
    </row>
    <row r="21" spans="1:7" ht="15" customHeight="1" x14ac:dyDescent="0.35">
      <c r="A21" s="63" t="s">
        <v>192</v>
      </c>
      <c r="B21" s="64">
        <v>0.12</v>
      </c>
      <c r="C21" s="52">
        <f>B13*B21</f>
        <v>240</v>
      </c>
      <c r="D21" s="52">
        <f>B13-C21</f>
        <v>1760</v>
      </c>
      <c r="E21" s="52">
        <f>D21-B14-B15</f>
        <v>960</v>
      </c>
    </row>
    <row r="23" spans="1:7" ht="15" customHeight="1" x14ac:dyDescent="0.35">
      <c r="A23" s="65" t="s">
        <v>193</v>
      </c>
      <c r="B23" s="54"/>
      <c r="C23" s="54"/>
      <c r="D23" s="54"/>
      <c r="E23" s="54"/>
      <c r="F23" s="54"/>
      <c r="G23" s="54"/>
    </row>
    <row r="25" spans="1:7" ht="15" customHeight="1" x14ac:dyDescent="0.35">
      <c r="A25" s="56" t="s">
        <v>194</v>
      </c>
    </row>
    <row r="26" spans="1:7" ht="15" customHeight="1" x14ac:dyDescent="0.35">
      <c r="A26" s="66" t="s">
        <v>195</v>
      </c>
      <c r="B26" s="54"/>
      <c r="C26" s="54"/>
      <c r="D26" s="54"/>
      <c r="E26" s="54"/>
      <c r="F26" s="54"/>
      <c r="G26" s="54"/>
    </row>
  </sheetData>
  <sheetProtection algorithmName="SHA-512" hashValue="H9r3uaIlWuwMNAYAO++U7uGQS936YGC1R6+z0W2go15Vo9tezNWEY3OaHoR/rO45r5nab6DNlWQk9AlB/3nLWA==" saltValue="wsUY5fmU+2fp64tBBf8f+A==" spinCount="100000" sheet="1" objects="1" scenarios="1"/>
  <mergeCells count="3">
    <mergeCell ref="A26:G26"/>
    <mergeCell ref="A1:G1"/>
    <mergeCell ref="A23:G2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58"/>
  <sheetViews>
    <sheetView zoomScaleNormal="100" workbookViewId="0">
      <selection activeCell="E44" sqref="E44"/>
    </sheetView>
  </sheetViews>
  <sheetFormatPr defaultColWidth="8.6328125" defaultRowHeight="14.5" x14ac:dyDescent="0.35"/>
  <cols>
    <col min="1" max="1" width="48" style="55" customWidth="1"/>
    <col min="2" max="4" width="16" style="55" customWidth="1"/>
    <col min="5" max="5" width="45" style="55" customWidth="1"/>
    <col min="6" max="16384" width="8.6328125" style="55"/>
  </cols>
  <sheetData>
    <row r="1" spans="1:8" ht="17.399999999999999" customHeight="1" x14ac:dyDescent="0.4">
      <c r="A1" s="53" t="s">
        <v>196</v>
      </c>
      <c r="B1" s="54"/>
      <c r="C1" s="54"/>
      <c r="D1" s="54"/>
      <c r="E1" s="54"/>
      <c r="F1" s="54"/>
      <c r="G1" s="54"/>
      <c r="H1" s="54"/>
    </row>
    <row r="2" spans="1:8" ht="15" customHeight="1" x14ac:dyDescent="0.35">
      <c r="A2" s="65" t="s">
        <v>197</v>
      </c>
      <c r="B2" s="54"/>
      <c r="C2" s="54"/>
      <c r="D2" s="54"/>
      <c r="E2" s="54"/>
      <c r="F2" s="54"/>
      <c r="G2" s="54"/>
      <c r="H2" s="54"/>
    </row>
    <row r="4" spans="1:8" ht="15" customHeight="1" x14ac:dyDescent="0.35">
      <c r="A4" s="56" t="s">
        <v>198</v>
      </c>
    </row>
    <row r="5" spans="1:8" ht="15" customHeight="1" x14ac:dyDescent="0.35">
      <c r="A5" s="67" t="s">
        <v>199</v>
      </c>
      <c r="B5" s="67" t="s">
        <v>200</v>
      </c>
      <c r="C5" s="67" t="s">
        <v>201</v>
      </c>
      <c r="D5" s="67" t="s">
        <v>202</v>
      </c>
      <c r="E5" s="67" t="s">
        <v>203</v>
      </c>
    </row>
    <row r="6" spans="1:8" ht="15" customHeight="1" x14ac:dyDescent="0.35">
      <c r="A6" s="68" t="s">
        <v>204</v>
      </c>
      <c r="B6" s="69">
        <v>40</v>
      </c>
      <c r="C6" s="69">
        <v>100</v>
      </c>
      <c r="D6" s="69">
        <v>200</v>
      </c>
      <c r="E6" s="70" t="s">
        <v>205</v>
      </c>
    </row>
    <row r="7" spans="1:8" ht="15" customHeight="1" x14ac:dyDescent="0.35">
      <c r="A7" s="68" t="s">
        <v>206</v>
      </c>
      <c r="B7" s="69">
        <v>60</v>
      </c>
      <c r="C7" s="69">
        <v>180</v>
      </c>
      <c r="D7" s="69">
        <v>350</v>
      </c>
      <c r="E7" s="70" t="s">
        <v>205</v>
      </c>
    </row>
    <row r="8" spans="1:8" ht="15" customHeight="1" x14ac:dyDescent="0.35">
      <c r="A8" s="68" t="s">
        <v>207</v>
      </c>
      <c r="B8" s="69">
        <v>5000</v>
      </c>
      <c r="C8" s="69">
        <v>12000</v>
      </c>
      <c r="D8" s="69">
        <v>25000</v>
      </c>
      <c r="E8" s="70" t="s">
        <v>208</v>
      </c>
    </row>
    <row r="9" spans="1:8" ht="15" customHeight="1" x14ac:dyDescent="0.35">
      <c r="A9" s="68" t="s">
        <v>209</v>
      </c>
      <c r="B9" s="69">
        <v>8000</v>
      </c>
      <c r="C9" s="69">
        <v>15000</v>
      </c>
      <c r="D9" s="69">
        <v>25000</v>
      </c>
      <c r="E9" s="70" t="s">
        <v>210</v>
      </c>
    </row>
    <row r="10" spans="1:8" ht="15" customHeight="1" x14ac:dyDescent="0.35">
      <c r="A10" s="68" t="s">
        <v>211</v>
      </c>
      <c r="B10" s="69">
        <v>800</v>
      </c>
      <c r="C10" s="69">
        <v>1500</v>
      </c>
      <c r="D10" s="69">
        <v>3000</v>
      </c>
      <c r="E10" s="70" t="s">
        <v>212</v>
      </c>
    </row>
    <row r="11" spans="1:8" ht="15" customHeight="1" x14ac:dyDescent="0.35">
      <c r="A11" s="68" t="s">
        <v>213</v>
      </c>
      <c r="B11" s="69">
        <v>1500</v>
      </c>
      <c r="C11" s="69">
        <v>5000</v>
      </c>
      <c r="D11" s="69">
        <v>12000</v>
      </c>
      <c r="E11" s="70" t="s">
        <v>214</v>
      </c>
    </row>
    <row r="12" spans="1:8" ht="15" customHeight="1" x14ac:dyDescent="0.35">
      <c r="A12" s="68" t="s">
        <v>215</v>
      </c>
      <c r="B12" s="69">
        <v>3000</v>
      </c>
      <c r="C12" s="69">
        <v>12000</v>
      </c>
      <c r="D12" s="69">
        <v>30000</v>
      </c>
      <c r="E12" s="70" t="s">
        <v>214</v>
      </c>
    </row>
    <row r="13" spans="1:8" ht="15" customHeight="1" x14ac:dyDescent="0.35">
      <c r="A13" s="68" t="s">
        <v>216</v>
      </c>
      <c r="B13" s="69">
        <v>1.5</v>
      </c>
      <c r="C13" s="69">
        <v>3</v>
      </c>
      <c r="D13" s="69">
        <v>5</v>
      </c>
      <c r="E13" s="70" t="s">
        <v>217</v>
      </c>
    </row>
    <row r="14" spans="1:8" ht="15" customHeight="1" x14ac:dyDescent="0.35">
      <c r="A14" s="68" t="s">
        <v>218</v>
      </c>
      <c r="B14" s="69">
        <v>450000</v>
      </c>
      <c r="C14" s="69">
        <v>550000</v>
      </c>
      <c r="D14" s="69">
        <v>650000</v>
      </c>
      <c r="E14" s="70" t="s">
        <v>219</v>
      </c>
    </row>
    <row r="15" spans="1:8" ht="15" customHeight="1" x14ac:dyDescent="0.35">
      <c r="A15" s="68" t="s">
        <v>220</v>
      </c>
      <c r="B15" s="69">
        <v>150000</v>
      </c>
      <c r="C15" s="69">
        <v>350000</v>
      </c>
      <c r="D15" s="69">
        <v>600000</v>
      </c>
      <c r="E15" s="70" t="s">
        <v>221</v>
      </c>
    </row>
    <row r="16" spans="1:8" ht="15" customHeight="1" x14ac:dyDescent="0.35">
      <c r="A16" s="68" t="s">
        <v>222</v>
      </c>
      <c r="B16" s="69">
        <v>2500000</v>
      </c>
      <c r="C16" s="69">
        <v>5000000</v>
      </c>
      <c r="D16" s="69">
        <v>8000000</v>
      </c>
      <c r="E16" s="70" t="s">
        <v>223</v>
      </c>
    </row>
    <row r="17" spans="1:5" ht="15" customHeight="1" x14ac:dyDescent="0.35">
      <c r="A17" s="68" t="s">
        <v>224</v>
      </c>
      <c r="B17" s="69">
        <v>4000000</v>
      </c>
      <c r="C17" s="69">
        <v>12000000</v>
      </c>
      <c r="D17" s="69">
        <v>25000000</v>
      </c>
      <c r="E17" s="70" t="s">
        <v>225</v>
      </c>
    </row>
    <row r="18" spans="1:5" ht="15" customHeight="1" x14ac:dyDescent="0.35">
      <c r="A18" s="68" t="s">
        <v>226</v>
      </c>
      <c r="B18" s="69">
        <v>7000000</v>
      </c>
      <c r="C18" s="69">
        <v>22000000</v>
      </c>
      <c r="D18" s="69">
        <v>45000000</v>
      </c>
      <c r="E18" s="70" t="s">
        <v>225</v>
      </c>
    </row>
    <row r="19" spans="1:5" ht="15" customHeight="1" x14ac:dyDescent="0.35">
      <c r="A19" s="68" t="s">
        <v>227</v>
      </c>
      <c r="B19" s="64">
        <v>0.15</v>
      </c>
      <c r="C19" s="64">
        <v>0.18</v>
      </c>
      <c r="D19" s="64">
        <v>0.2</v>
      </c>
      <c r="E19" s="70" t="s">
        <v>228</v>
      </c>
    </row>
    <row r="20" spans="1:5" ht="15" customHeight="1" x14ac:dyDescent="0.35">
      <c r="A20" s="68" t="s">
        <v>229</v>
      </c>
      <c r="B20" s="69">
        <v>500000</v>
      </c>
      <c r="C20" s="69">
        <v>1500000</v>
      </c>
      <c r="D20" s="69">
        <v>3000000</v>
      </c>
      <c r="E20" s="70" t="s">
        <v>230</v>
      </c>
    </row>
    <row r="23" spans="1:5" ht="15" customHeight="1" x14ac:dyDescent="0.35">
      <c r="A23" s="56" t="s">
        <v>231</v>
      </c>
    </row>
    <row r="24" spans="1:5" ht="15" customHeight="1" x14ac:dyDescent="0.35">
      <c r="A24" s="67" t="s">
        <v>232</v>
      </c>
      <c r="B24" s="67" t="s">
        <v>233</v>
      </c>
      <c r="C24" s="67" t="s">
        <v>234</v>
      </c>
      <c r="D24" s="67" t="s">
        <v>235</v>
      </c>
      <c r="E24" s="67" t="s">
        <v>236</v>
      </c>
    </row>
    <row r="25" spans="1:5" ht="15" customHeight="1" x14ac:dyDescent="0.35">
      <c r="A25" s="63" t="s">
        <v>237</v>
      </c>
      <c r="B25" s="52">
        <f>B6*B8</f>
        <v>200000</v>
      </c>
      <c r="C25" s="52">
        <f>C6*C8</f>
        <v>1200000</v>
      </c>
      <c r="D25" s="52">
        <f>D6*D8</f>
        <v>5000000</v>
      </c>
      <c r="E25" s="63" t="s">
        <v>238</v>
      </c>
    </row>
    <row r="26" spans="1:5" ht="15" customHeight="1" x14ac:dyDescent="0.35">
      <c r="A26" s="63" t="s">
        <v>239</v>
      </c>
      <c r="B26" s="52">
        <f>B6*B9*3</f>
        <v>960000</v>
      </c>
      <c r="C26" s="52">
        <f>C6*C9*3</f>
        <v>4500000</v>
      </c>
      <c r="D26" s="52">
        <f>D6*D9*3</f>
        <v>15000000</v>
      </c>
      <c r="E26" s="63" t="s">
        <v>240</v>
      </c>
    </row>
    <row r="27" spans="1:5" ht="15" customHeight="1" x14ac:dyDescent="0.35">
      <c r="A27" s="63" t="s">
        <v>241</v>
      </c>
      <c r="B27" s="52">
        <f>B11*B10</f>
        <v>1200000</v>
      </c>
      <c r="C27" s="52">
        <f>C11*C10</f>
        <v>7500000</v>
      </c>
      <c r="D27" s="52">
        <f>D11*D10</f>
        <v>36000000</v>
      </c>
      <c r="E27" s="63" t="s">
        <v>242</v>
      </c>
    </row>
    <row r="28" spans="1:5" ht="15" customHeight="1" x14ac:dyDescent="0.35">
      <c r="A28" s="63" t="s">
        <v>243</v>
      </c>
      <c r="B28" s="52">
        <f>B13*B14*3</f>
        <v>2025000</v>
      </c>
      <c r="C28" s="52">
        <f>C13*C14*3</f>
        <v>4950000</v>
      </c>
      <c r="D28" s="52">
        <f>D13*D14*3</f>
        <v>9750000</v>
      </c>
      <c r="E28" s="63" t="s">
        <v>244</v>
      </c>
    </row>
    <row r="29" spans="1:5" ht="15" customHeight="1" x14ac:dyDescent="0.35">
      <c r="A29" s="63" t="s">
        <v>245</v>
      </c>
      <c r="B29" s="52">
        <f>B15*3</f>
        <v>450000</v>
      </c>
      <c r="C29" s="52">
        <f>C15*3</f>
        <v>1050000</v>
      </c>
      <c r="D29" s="52">
        <f>D15*3</f>
        <v>1800000</v>
      </c>
      <c r="E29" s="63" t="s">
        <v>246</v>
      </c>
    </row>
    <row r="30" spans="1:5" ht="15" customHeight="1" x14ac:dyDescent="0.35">
      <c r="A30" s="63" t="s">
        <v>247</v>
      </c>
      <c r="B30" s="52">
        <f t="shared" ref="B30:D31" si="0">B16</f>
        <v>2500000</v>
      </c>
      <c r="C30" s="52">
        <f t="shared" si="0"/>
        <v>5000000</v>
      </c>
      <c r="D30" s="52">
        <f t="shared" si="0"/>
        <v>8000000</v>
      </c>
      <c r="E30" s="63" t="s">
        <v>248</v>
      </c>
    </row>
    <row r="31" spans="1:5" ht="15" customHeight="1" x14ac:dyDescent="0.35">
      <c r="A31" s="63" t="s">
        <v>249</v>
      </c>
      <c r="B31" s="52">
        <f t="shared" si="0"/>
        <v>4000000</v>
      </c>
      <c r="C31" s="52">
        <f t="shared" si="0"/>
        <v>12000000</v>
      </c>
      <c r="D31" s="52">
        <f t="shared" si="0"/>
        <v>25000000</v>
      </c>
      <c r="E31" s="63" t="s">
        <v>250</v>
      </c>
    </row>
    <row r="32" spans="1:5" ht="15" customHeight="1" x14ac:dyDescent="0.35">
      <c r="A32" s="63" t="s">
        <v>251</v>
      </c>
      <c r="B32" s="52">
        <f>B20</f>
        <v>500000</v>
      </c>
      <c r="C32" s="52">
        <f>C20</f>
        <v>1500000</v>
      </c>
      <c r="D32" s="52">
        <f>D20</f>
        <v>3000000</v>
      </c>
      <c r="E32" s="63" t="s">
        <v>248</v>
      </c>
    </row>
    <row r="33" spans="1:5" ht="15" customHeight="1" x14ac:dyDescent="0.35">
      <c r="A33" s="71" t="s">
        <v>252</v>
      </c>
      <c r="B33" s="73">
        <f>SUM(B25:B32)</f>
        <v>11835000</v>
      </c>
      <c r="C33" s="73">
        <f>SUM(C25:C32)</f>
        <v>37700000</v>
      </c>
      <c r="D33" s="73">
        <f>SUM(D25:D32)</f>
        <v>103550000</v>
      </c>
      <c r="E33" s="63" t="s">
        <v>253</v>
      </c>
    </row>
    <row r="34" spans="1:5" ht="15" customHeight="1" x14ac:dyDescent="0.35">
      <c r="A34" s="63" t="s">
        <v>254</v>
      </c>
      <c r="B34" s="52">
        <f>B33*B19</f>
        <v>1775250</v>
      </c>
      <c r="C34" s="52">
        <f>C33*C19</f>
        <v>6786000</v>
      </c>
      <c r="D34" s="52">
        <f>D33*D19</f>
        <v>20710000</v>
      </c>
      <c r="E34" s="63" t="s">
        <v>255</v>
      </c>
    </row>
    <row r="35" spans="1:5" ht="15" customHeight="1" x14ac:dyDescent="0.35">
      <c r="A35" s="72" t="s">
        <v>256</v>
      </c>
      <c r="B35" s="74">
        <f>B33+B34</f>
        <v>13610250</v>
      </c>
      <c r="C35" s="74">
        <f>C33+C34</f>
        <v>44486000</v>
      </c>
      <c r="D35" s="74">
        <f>D33+D34</f>
        <v>124260000</v>
      </c>
      <c r="E35" s="63" t="s">
        <v>257</v>
      </c>
    </row>
    <row r="38" spans="1:5" ht="15" customHeight="1" x14ac:dyDescent="0.35">
      <c r="A38" s="56" t="s">
        <v>258</v>
      </c>
    </row>
    <row r="39" spans="1:5" ht="15" customHeight="1" x14ac:dyDescent="0.35">
      <c r="A39" s="67" t="s">
        <v>232</v>
      </c>
      <c r="B39" s="67" t="s">
        <v>233</v>
      </c>
      <c r="C39" s="67" t="s">
        <v>234</v>
      </c>
      <c r="D39" s="67" t="s">
        <v>235</v>
      </c>
      <c r="E39" s="67" t="s">
        <v>259</v>
      </c>
    </row>
    <row r="40" spans="1:5" ht="15" customHeight="1" x14ac:dyDescent="0.35">
      <c r="A40" s="63" t="s">
        <v>260</v>
      </c>
      <c r="B40" s="52">
        <f>B7*B8</f>
        <v>300000</v>
      </c>
      <c r="C40" s="52">
        <f>C7*C8</f>
        <v>2160000</v>
      </c>
      <c r="D40" s="52">
        <f>D7*D8</f>
        <v>8750000</v>
      </c>
      <c r="E40" s="63"/>
    </row>
    <row r="41" spans="1:5" ht="15" customHeight="1" x14ac:dyDescent="0.35">
      <c r="A41" s="63" t="s">
        <v>261</v>
      </c>
      <c r="B41" s="52">
        <f>((B6+B7)/2)*B9*6</f>
        <v>2400000</v>
      </c>
      <c r="C41" s="52">
        <f>((C6+C7)/2)*C9*6</f>
        <v>12600000</v>
      </c>
      <c r="D41" s="52">
        <f>((D6+D7)/2)*D9*6</f>
        <v>41250000</v>
      </c>
      <c r="E41" s="63"/>
    </row>
    <row r="42" spans="1:5" ht="15" customHeight="1" x14ac:dyDescent="0.35">
      <c r="A42" s="63" t="s">
        <v>262</v>
      </c>
      <c r="B42" s="52">
        <f>B12*B10</f>
        <v>2400000</v>
      </c>
      <c r="C42" s="52">
        <f>C12*C10</f>
        <v>18000000</v>
      </c>
      <c r="D42" s="52">
        <f>D12*D10</f>
        <v>90000000</v>
      </c>
      <c r="E42" s="63"/>
    </row>
    <row r="43" spans="1:5" ht="15" customHeight="1" x14ac:dyDescent="0.35">
      <c r="A43" s="63" t="s">
        <v>263</v>
      </c>
      <c r="B43" s="52">
        <f>B13*B14*6</f>
        <v>4050000</v>
      </c>
      <c r="C43" s="52">
        <f>C13*C14*6</f>
        <v>9900000</v>
      </c>
      <c r="D43" s="52">
        <f>D13*D14*6</f>
        <v>19500000</v>
      </c>
      <c r="E43" s="63"/>
    </row>
    <row r="44" spans="1:5" ht="15" customHeight="1" x14ac:dyDescent="0.35">
      <c r="A44" s="63" t="s">
        <v>264</v>
      </c>
      <c r="B44" s="52">
        <f>B15*6</f>
        <v>900000</v>
      </c>
      <c r="C44" s="52">
        <f>C15*6</f>
        <v>2100000</v>
      </c>
      <c r="D44" s="52">
        <f>D15*6</f>
        <v>3600000</v>
      </c>
      <c r="E44" s="63"/>
    </row>
    <row r="45" spans="1:5" ht="15" customHeight="1" x14ac:dyDescent="0.35">
      <c r="A45" s="63" t="s">
        <v>265</v>
      </c>
      <c r="B45" s="52">
        <f>B16</f>
        <v>2500000</v>
      </c>
      <c r="C45" s="52">
        <f>C16</f>
        <v>5000000</v>
      </c>
      <c r="D45" s="52">
        <f>D16</f>
        <v>8000000</v>
      </c>
      <c r="E45" s="63"/>
    </row>
    <row r="46" spans="1:5" ht="15" customHeight="1" x14ac:dyDescent="0.35">
      <c r="A46" s="63" t="s">
        <v>266</v>
      </c>
      <c r="B46" s="52">
        <f>B18</f>
        <v>7000000</v>
      </c>
      <c r="C46" s="52">
        <f>C18</f>
        <v>22000000</v>
      </c>
      <c r="D46" s="52">
        <f>D18</f>
        <v>45000000</v>
      </c>
      <c r="E46" s="63"/>
    </row>
    <row r="47" spans="1:5" ht="15" customHeight="1" x14ac:dyDescent="0.35">
      <c r="A47" s="63" t="s">
        <v>267</v>
      </c>
      <c r="B47" s="52">
        <f>B20</f>
        <v>500000</v>
      </c>
      <c r="C47" s="52">
        <f>C20</f>
        <v>1500000</v>
      </c>
      <c r="D47" s="52">
        <f>D20</f>
        <v>3000000</v>
      </c>
      <c r="E47" s="63"/>
    </row>
    <row r="48" spans="1:5" ht="15" customHeight="1" x14ac:dyDescent="0.35">
      <c r="A48" s="71" t="s">
        <v>268</v>
      </c>
      <c r="B48" s="73">
        <f>SUM(B40:B47)</f>
        <v>20050000</v>
      </c>
      <c r="C48" s="73">
        <f>SUM(C40:C47)</f>
        <v>73260000</v>
      </c>
      <c r="D48" s="73">
        <f>SUM(D40:D47)</f>
        <v>219100000</v>
      </c>
      <c r="E48" s="63"/>
    </row>
    <row r="49" spans="1:5" ht="15" customHeight="1" x14ac:dyDescent="0.35">
      <c r="A49" s="63" t="s">
        <v>269</v>
      </c>
      <c r="B49" s="52">
        <f>B48*B19</f>
        <v>3007500</v>
      </c>
      <c r="C49" s="52">
        <f>C48*C19</f>
        <v>13186800</v>
      </c>
      <c r="D49" s="52">
        <f>D48*D19</f>
        <v>43820000</v>
      </c>
      <c r="E49" s="63"/>
    </row>
    <row r="50" spans="1:5" ht="15" customHeight="1" x14ac:dyDescent="0.35">
      <c r="A50" s="72" t="s">
        <v>270</v>
      </c>
      <c r="B50" s="74">
        <f>B48+B49</f>
        <v>23057500</v>
      </c>
      <c r="C50" s="74">
        <f>C48+C49</f>
        <v>86446800</v>
      </c>
      <c r="D50" s="74">
        <f>D48+D49</f>
        <v>262920000</v>
      </c>
      <c r="E50" s="63"/>
    </row>
    <row r="52" spans="1:5" ht="15" customHeight="1" x14ac:dyDescent="0.35">
      <c r="A52" s="60" t="s">
        <v>271</v>
      </c>
    </row>
    <row r="53" spans="1:5" ht="15" customHeight="1" x14ac:dyDescent="0.35">
      <c r="A53" s="55" t="s">
        <v>272</v>
      </c>
    </row>
    <row r="54" spans="1:5" ht="15" customHeight="1" x14ac:dyDescent="0.35">
      <c r="A54" s="55" t="s">
        <v>273</v>
      </c>
    </row>
    <row r="55" spans="1:5" ht="15" customHeight="1" x14ac:dyDescent="0.35">
      <c r="A55" s="55" t="s">
        <v>274</v>
      </c>
    </row>
    <row r="56" spans="1:5" ht="15" customHeight="1" x14ac:dyDescent="0.35">
      <c r="A56" s="55" t="s">
        <v>275</v>
      </c>
    </row>
    <row r="57" spans="1:5" ht="15" customHeight="1" x14ac:dyDescent="0.35">
      <c r="A57" s="55" t="s">
        <v>276</v>
      </c>
    </row>
    <row r="58" spans="1:5" ht="15" customHeight="1" x14ac:dyDescent="0.35">
      <c r="A58" s="55" t="s">
        <v>277</v>
      </c>
    </row>
  </sheetData>
  <sheetProtection algorithmName="SHA-512" hashValue="rmQboEf/eA0wYblyiovNWWF8+F6MYid++/PzIUX54aAZlZzDnTB9CzWnFfkQy3+d6T7UG902BcOE1KKkaHG6Pw==" saltValue="QxOXFDoNqozSEcg6xTRf5A==" spinCount="100000" sheet="1" objects="1" scenarios="1"/>
  <mergeCells count="2">
    <mergeCell ref="A2:H2"/>
    <mergeCell ref="A1:H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4"/>
  <sheetViews>
    <sheetView topLeftCell="A21" zoomScaleNormal="100" workbookViewId="0">
      <selection activeCell="D8" sqref="D8"/>
    </sheetView>
  </sheetViews>
  <sheetFormatPr defaultColWidth="8.6328125" defaultRowHeight="14.5" x14ac:dyDescent="0.35"/>
  <cols>
    <col min="1" max="1" width="42" style="55" customWidth="1"/>
    <col min="2" max="2" width="22" style="55" customWidth="1"/>
    <col min="3" max="5" width="28" style="55" customWidth="1"/>
    <col min="6" max="16384" width="8.6328125" style="55"/>
  </cols>
  <sheetData>
    <row r="1" spans="1:7" ht="17.399999999999999" customHeight="1" x14ac:dyDescent="0.4">
      <c r="A1" s="53" t="s">
        <v>278</v>
      </c>
      <c r="B1" s="54"/>
      <c r="C1" s="54"/>
      <c r="D1" s="54"/>
      <c r="E1" s="54"/>
      <c r="F1" s="54"/>
      <c r="G1" s="54"/>
    </row>
    <row r="3" spans="1:7" ht="15" customHeight="1" x14ac:dyDescent="0.35">
      <c r="A3" s="56" t="s">
        <v>279</v>
      </c>
    </row>
    <row r="4" spans="1:7" ht="15" customHeight="1" x14ac:dyDescent="0.35">
      <c r="A4" s="55" t="s">
        <v>280</v>
      </c>
    </row>
    <row r="5" spans="1:7" ht="15" customHeight="1" x14ac:dyDescent="0.35">
      <c r="A5" s="55" t="s">
        <v>281</v>
      </c>
      <c r="B5" s="61">
        <v>2000</v>
      </c>
    </row>
    <row r="6" spans="1:7" ht="15" customHeight="1" x14ac:dyDescent="0.35">
      <c r="A6" s="55" t="s">
        <v>282</v>
      </c>
      <c r="B6" s="61">
        <v>800</v>
      </c>
    </row>
    <row r="8" spans="1:7" ht="15" customHeight="1" x14ac:dyDescent="0.35">
      <c r="A8" s="62" t="s">
        <v>283</v>
      </c>
      <c r="B8" s="62" t="s">
        <v>188</v>
      </c>
      <c r="C8" s="62" t="s">
        <v>189</v>
      </c>
      <c r="D8" s="62" t="s">
        <v>284</v>
      </c>
      <c r="E8" s="62" t="s">
        <v>285</v>
      </c>
    </row>
    <row r="9" spans="1:7" ht="15" customHeight="1" x14ac:dyDescent="0.35">
      <c r="A9" s="64">
        <v>0.08</v>
      </c>
      <c r="B9" s="52">
        <f>B5*A9</f>
        <v>160</v>
      </c>
      <c r="C9" s="52">
        <f>B5-B9</f>
        <v>1840</v>
      </c>
      <c r="D9" s="52">
        <f>C9-B6</f>
        <v>1040</v>
      </c>
      <c r="E9" s="78" t="str">
        <f t="shared" ref="E9:E14" si="0">IF(A9&lt;0.15,"Stronger for drivers",IF(A9&lt;=0.18,"Comparable","Weaker"))</f>
        <v>Stronger for drivers</v>
      </c>
    </row>
    <row r="10" spans="1:7" ht="15" customHeight="1" x14ac:dyDescent="0.35">
      <c r="A10" s="64">
        <v>0.1</v>
      </c>
      <c r="B10" s="52">
        <f>B5*A10</f>
        <v>200</v>
      </c>
      <c r="C10" s="52">
        <f>B5-B10</f>
        <v>1800</v>
      </c>
      <c r="D10" s="52">
        <f>C10-B6</f>
        <v>1000</v>
      </c>
      <c r="E10" s="78" t="str">
        <f t="shared" si="0"/>
        <v>Stronger for drivers</v>
      </c>
    </row>
    <row r="11" spans="1:7" ht="15" customHeight="1" x14ac:dyDescent="0.35">
      <c r="A11" s="64">
        <v>0.12</v>
      </c>
      <c r="B11" s="52">
        <f>B5*A11</f>
        <v>240</v>
      </c>
      <c r="C11" s="52">
        <f>B5-B11</f>
        <v>1760</v>
      </c>
      <c r="D11" s="52">
        <f>C11-B6</f>
        <v>960</v>
      </c>
      <c r="E11" s="78" t="str">
        <f t="shared" si="0"/>
        <v>Stronger for drivers</v>
      </c>
    </row>
    <row r="12" spans="1:7" ht="15" customHeight="1" x14ac:dyDescent="0.35">
      <c r="A12" s="64">
        <v>0.15</v>
      </c>
      <c r="B12" s="52">
        <f>B5*A12</f>
        <v>300</v>
      </c>
      <c r="C12" s="52">
        <f>B5-B12</f>
        <v>1700</v>
      </c>
      <c r="D12" s="52">
        <f>C12-B6</f>
        <v>900</v>
      </c>
      <c r="E12" s="78" t="str">
        <f t="shared" si="0"/>
        <v>Comparable</v>
      </c>
    </row>
    <row r="13" spans="1:7" ht="15" customHeight="1" x14ac:dyDescent="0.35">
      <c r="A13" s="64">
        <v>0.18</v>
      </c>
      <c r="B13" s="52">
        <f>B5*A13</f>
        <v>360</v>
      </c>
      <c r="C13" s="52">
        <f>B5-B13</f>
        <v>1640</v>
      </c>
      <c r="D13" s="52">
        <f>C13-B6</f>
        <v>840</v>
      </c>
      <c r="E13" s="78" t="str">
        <f t="shared" si="0"/>
        <v>Comparable</v>
      </c>
    </row>
    <row r="14" spans="1:7" ht="15" customHeight="1" x14ac:dyDescent="0.35">
      <c r="A14" s="64">
        <v>0.2</v>
      </c>
      <c r="B14" s="52">
        <f>B5*A14</f>
        <v>400</v>
      </c>
      <c r="C14" s="52">
        <f>B5-B14</f>
        <v>1600</v>
      </c>
      <c r="D14" s="52">
        <f>C14-B6</f>
        <v>800</v>
      </c>
      <c r="E14" s="78" t="str">
        <f t="shared" si="0"/>
        <v>Weaker</v>
      </c>
    </row>
    <row r="17" spans="1:4" ht="15" customHeight="1" x14ac:dyDescent="0.35">
      <c r="A17" s="56" t="s">
        <v>286</v>
      </c>
    </row>
    <row r="18" spans="1:4" ht="15" customHeight="1" x14ac:dyDescent="0.35">
      <c r="A18" s="62" t="s">
        <v>287</v>
      </c>
      <c r="B18" s="62" t="s">
        <v>288</v>
      </c>
      <c r="C18" s="62" t="s">
        <v>289</v>
      </c>
      <c r="D18" s="62" t="s">
        <v>40</v>
      </c>
    </row>
    <row r="19" spans="1:4" ht="15" customHeight="1" x14ac:dyDescent="0.35">
      <c r="A19" s="69">
        <v>50</v>
      </c>
      <c r="B19" s="75">
        <v>15000</v>
      </c>
      <c r="C19" s="52">
        <f>A19*B19</f>
        <v>750000</v>
      </c>
      <c r="D19" s="63" t="s">
        <v>290</v>
      </c>
    </row>
    <row r="20" spans="1:4" ht="15" customHeight="1" x14ac:dyDescent="0.35">
      <c r="A20" s="69">
        <v>100</v>
      </c>
      <c r="B20" s="75">
        <v>15000</v>
      </c>
      <c r="C20" s="52">
        <f>A20*B20</f>
        <v>1500000</v>
      </c>
      <c r="D20" s="63" t="s">
        <v>290</v>
      </c>
    </row>
    <row r="21" spans="1:4" ht="15" customHeight="1" x14ac:dyDescent="0.35">
      <c r="A21" s="69">
        <v>150</v>
      </c>
      <c r="B21" s="75">
        <v>15000</v>
      </c>
      <c r="C21" s="52">
        <f>A21*B21</f>
        <v>2250000</v>
      </c>
      <c r="D21" s="63" t="s">
        <v>290</v>
      </c>
    </row>
    <row r="22" spans="1:4" ht="15" customHeight="1" x14ac:dyDescent="0.35">
      <c r="A22" s="69">
        <v>200</v>
      </c>
      <c r="B22" s="75">
        <v>15000</v>
      </c>
      <c r="C22" s="52">
        <f>A22*B22</f>
        <v>3000000</v>
      </c>
      <c r="D22" s="63" t="s">
        <v>290</v>
      </c>
    </row>
    <row r="23" spans="1:4" ht="15" customHeight="1" x14ac:dyDescent="0.35">
      <c r="A23" s="69">
        <v>300</v>
      </c>
      <c r="B23" s="75">
        <v>15000</v>
      </c>
      <c r="C23" s="52">
        <f>A23*B23</f>
        <v>4500000</v>
      </c>
      <c r="D23" s="63" t="s">
        <v>290</v>
      </c>
    </row>
    <row r="26" spans="1:4" ht="15" customHeight="1" x14ac:dyDescent="0.35">
      <c r="A26" s="56" t="s">
        <v>291</v>
      </c>
    </row>
    <row r="27" spans="1:4" ht="15" customHeight="1" x14ac:dyDescent="0.35">
      <c r="A27" s="55" t="s">
        <v>292</v>
      </c>
      <c r="B27" s="76">
        <v>6</v>
      </c>
    </row>
    <row r="28" spans="1:4" ht="15" customHeight="1" x14ac:dyDescent="0.35">
      <c r="A28" s="55" t="s">
        <v>293</v>
      </c>
      <c r="B28" s="76">
        <v>25</v>
      </c>
    </row>
    <row r="29" spans="1:4" ht="15" customHeight="1" x14ac:dyDescent="0.35">
      <c r="A29" s="55" t="s">
        <v>294</v>
      </c>
      <c r="B29" s="61">
        <v>2000</v>
      </c>
    </row>
    <row r="30" spans="1:4" ht="15" customHeight="1" x14ac:dyDescent="0.35">
      <c r="A30" s="55" t="s">
        <v>295</v>
      </c>
      <c r="B30" s="77">
        <v>0.12</v>
      </c>
    </row>
    <row r="31" spans="1:4" ht="15" customHeight="1" x14ac:dyDescent="0.35">
      <c r="A31" s="55" t="s">
        <v>296</v>
      </c>
      <c r="B31" s="76">
        <v>100</v>
      </c>
    </row>
    <row r="33" spans="1:5" ht="15" customHeight="1" x14ac:dyDescent="0.35">
      <c r="A33" s="55" t="s">
        <v>297</v>
      </c>
      <c r="B33" s="79">
        <f>B27*B28*B29*B30*B31</f>
        <v>3600000</v>
      </c>
    </row>
    <row r="34" spans="1:5" ht="15" customHeight="1" x14ac:dyDescent="0.35">
      <c r="A34" s="65" t="s">
        <v>298</v>
      </c>
      <c r="B34" s="54"/>
      <c r="C34" s="54"/>
      <c r="D34" s="54"/>
      <c r="E34" s="54"/>
    </row>
  </sheetData>
  <sheetProtection algorithmName="SHA-512" hashValue="OZuXgSOMJ/cxkHI0jiAZVk200cBATgGYtelrCOI1zlC86vmYEe7BSTjKJD2DDJCoxj/PU9/Vh9yoVe2485snew==" saltValue="HpAlwuHPGAJObRZpqcSyWQ==" spinCount="100000" sheet="1" objects="1" scenarios="1"/>
  <mergeCells count="2">
    <mergeCell ref="A34:E34"/>
    <mergeCell ref="A1:G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40"/>
  <sheetViews>
    <sheetView topLeftCell="A30" zoomScaleNormal="100" workbookViewId="0">
      <selection activeCell="E38" sqref="E38"/>
    </sheetView>
  </sheetViews>
  <sheetFormatPr defaultColWidth="8.6328125" defaultRowHeight="14.5" x14ac:dyDescent="0.35"/>
  <cols>
    <col min="1" max="1" width="6" customWidth="1"/>
    <col min="2" max="2" width="14" customWidth="1"/>
    <col min="3" max="3" width="45" customWidth="1"/>
    <col min="4" max="4" width="10" customWidth="1"/>
    <col min="5" max="5" width="40" customWidth="1"/>
    <col min="6" max="6" width="12" customWidth="1"/>
    <col min="7" max="7" width="55" customWidth="1"/>
  </cols>
  <sheetData>
    <row r="1" spans="1:7" ht="17.399999999999999" customHeight="1" x14ac:dyDescent="0.4">
      <c r="A1" s="41" t="s">
        <v>299</v>
      </c>
      <c r="B1" s="39"/>
      <c r="C1" s="39"/>
      <c r="D1" s="39"/>
      <c r="E1" s="39"/>
      <c r="F1" s="39"/>
      <c r="G1" s="39"/>
    </row>
    <row r="2" spans="1:7" ht="15" customHeight="1" x14ac:dyDescent="0.35">
      <c r="A2" s="21" t="s">
        <v>300</v>
      </c>
    </row>
    <row r="3" spans="1:7" ht="15" customHeight="1" x14ac:dyDescent="0.35">
      <c r="A3" s="20" t="s">
        <v>301</v>
      </c>
      <c r="B3" s="20" t="s">
        <v>302</v>
      </c>
      <c r="C3" s="20" t="s">
        <v>303</v>
      </c>
      <c r="D3" s="20" t="s">
        <v>304</v>
      </c>
      <c r="E3" s="20" t="s">
        <v>305</v>
      </c>
      <c r="F3" s="20" t="s">
        <v>306</v>
      </c>
      <c r="G3" s="20" t="s">
        <v>307</v>
      </c>
    </row>
    <row r="4" spans="1:7" ht="31.5" customHeight="1" x14ac:dyDescent="0.35">
      <c r="A4" s="22" t="s">
        <v>308</v>
      </c>
      <c r="B4" s="22" t="s">
        <v>309</v>
      </c>
      <c r="C4" s="22" t="s">
        <v>310</v>
      </c>
      <c r="D4" s="22" t="s">
        <v>75</v>
      </c>
      <c r="E4" s="22" t="s">
        <v>311</v>
      </c>
      <c r="F4" s="22" t="s">
        <v>312</v>
      </c>
      <c r="G4" s="22" t="s">
        <v>313</v>
      </c>
    </row>
    <row r="5" spans="1:7" ht="31.5" customHeight="1" x14ac:dyDescent="0.35">
      <c r="A5" s="22" t="s">
        <v>314</v>
      </c>
      <c r="B5" s="22" t="s">
        <v>309</v>
      </c>
      <c r="C5" s="22" t="s">
        <v>315</v>
      </c>
      <c r="D5" s="22" t="s">
        <v>75</v>
      </c>
      <c r="E5" s="22" t="s">
        <v>316</v>
      </c>
      <c r="F5" s="22" t="s">
        <v>317</v>
      </c>
      <c r="G5" s="22" t="s">
        <v>318</v>
      </c>
    </row>
    <row r="6" spans="1:7" ht="31.5" customHeight="1" x14ac:dyDescent="0.35">
      <c r="A6" s="23" t="s">
        <v>52</v>
      </c>
      <c r="B6" s="23" t="s">
        <v>309</v>
      </c>
      <c r="C6" s="23" t="s">
        <v>319</v>
      </c>
      <c r="D6" s="23" t="s">
        <v>51</v>
      </c>
      <c r="E6" s="23" t="s">
        <v>320</v>
      </c>
      <c r="F6" s="23" t="s">
        <v>321</v>
      </c>
      <c r="G6" s="23" t="s">
        <v>322</v>
      </c>
    </row>
    <row r="7" spans="1:7" ht="31.5" customHeight="1" x14ac:dyDescent="0.35">
      <c r="A7" s="23" t="s">
        <v>56</v>
      </c>
      <c r="B7" s="23" t="s">
        <v>309</v>
      </c>
      <c r="C7" s="23" t="s">
        <v>323</v>
      </c>
      <c r="D7" s="23" t="s">
        <v>51</v>
      </c>
      <c r="E7" s="23" t="s">
        <v>324</v>
      </c>
      <c r="F7" s="23" t="s">
        <v>321</v>
      </c>
      <c r="G7" s="23" t="s">
        <v>325</v>
      </c>
    </row>
    <row r="8" spans="1:7" ht="31.5" customHeight="1" x14ac:dyDescent="0.35">
      <c r="A8" s="23" t="s">
        <v>60</v>
      </c>
      <c r="B8" s="23" t="s">
        <v>309</v>
      </c>
      <c r="C8" s="23" t="s">
        <v>326</v>
      </c>
      <c r="D8" s="23" t="s">
        <v>51</v>
      </c>
      <c r="E8" s="23" t="s">
        <v>327</v>
      </c>
      <c r="F8" s="23" t="s">
        <v>321</v>
      </c>
      <c r="G8" s="23" t="s">
        <v>328</v>
      </c>
    </row>
    <row r="9" spans="1:7" ht="31.5" customHeight="1" x14ac:dyDescent="0.35">
      <c r="A9" s="22" t="s">
        <v>329</v>
      </c>
      <c r="B9" s="22" t="s">
        <v>330</v>
      </c>
      <c r="C9" s="22" t="s">
        <v>331</v>
      </c>
      <c r="D9" s="22" t="s">
        <v>75</v>
      </c>
      <c r="E9" s="22" t="s">
        <v>332</v>
      </c>
      <c r="F9" s="22" t="s">
        <v>312</v>
      </c>
      <c r="G9" s="22" t="s">
        <v>333</v>
      </c>
    </row>
    <row r="10" spans="1:7" ht="31.5" customHeight="1" x14ac:dyDescent="0.35">
      <c r="A10" s="22" t="s">
        <v>334</v>
      </c>
      <c r="B10" s="22" t="s">
        <v>330</v>
      </c>
      <c r="C10" s="22" t="s">
        <v>335</v>
      </c>
      <c r="D10" s="22" t="s">
        <v>75</v>
      </c>
      <c r="E10" s="22" t="s">
        <v>336</v>
      </c>
      <c r="F10" s="22" t="s">
        <v>337</v>
      </c>
      <c r="G10" s="22" t="s">
        <v>338</v>
      </c>
    </row>
    <row r="11" spans="1:7" ht="31.5" customHeight="1" x14ac:dyDescent="0.35">
      <c r="A11" s="22" t="s">
        <v>339</v>
      </c>
      <c r="B11" s="22" t="s">
        <v>330</v>
      </c>
      <c r="C11" s="22" t="s">
        <v>340</v>
      </c>
      <c r="D11" s="22" t="s">
        <v>75</v>
      </c>
      <c r="E11" s="22" t="s">
        <v>341</v>
      </c>
      <c r="F11" s="22" t="s">
        <v>321</v>
      </c>
      <c r="G11" s="22" t="s">
        <v>342</v>
      </c>
    </row>
    <row r="12" spans="1:7" ht="31.5" customHeight="1" x14ac:dyDescent="0.35">
      <c r="A12" s="22" t="s">
        <v>343</v>
      </c>
      <c r="B12" s="22" t="s">
        <v>330</v>
      </c>
      <c r="C12" s="22" t="s">
        <v>344</v>
      </c>
      <c r="D12" s="22" t="s">
        <v>75</v>
      </c>
      <c r="E12" s="22" t="s">
        <v>345</v>
      </c>
      <c r="F12" s="22" t="s">
        <v>346</v>
      </c>
      <c r="G12" s="22" t="s">
        <v>347</v>
      </c>
    </row>
    <row r="13" spans="1:7" ht="31.5" customHeight="1" x14ac:dyDescent="0.35">
      <c r="A13" s="23" t="s">
        <v>348</v>
      </c>
      <c r="B13" s="23" t="s">
        <v>349</v>
      </c>
      <c r="C13" s="23" t="s">
        <v>350</v>
      </c>
      <c r="D13" s="23" t="s">
        <v>51</v>
      </c>
      <c r="E13" s="23" t="s">
        <v>351</v>
      </c>
      <c r="F13" s="23" t="s">
        <v>317</v>
      </c>
      <c r="G13" s="23" t="s">
        <v>352</v>
      </c>
    </row>
    <row r="14" spans="1:7" ht="31.5" customHeight="1" x14ac:dyDescent="0.35">
      <c r="A14" s="22" t="s">
        <v>353</v>
      </c>
      <c r="B14" s="22" t="s">
        <v>349</v>
      </c>
      <c r="C14" s="22" t="s">
        <v>354</v>
      </c>
      <c r="D14" s="22" t="s">
        <v>75</v>
      </c>
      <c r="E14" s="22" t="s">
        <v>355</v>
      </c>
      <c r="F14" s="22" t="s">
        <v>317</v>
      </c>
      <c r="G14" s="22" t="s">
        <v>356</v>
      </c>
    </row>
    <row r="15" spans="1:7" ht="31.5" customHeight="1" x14ac:dyDescent="0.35">
      <c r="A15" s="23" t="s">
        <v>357</v>
      </c>
      <c r="B15" s="23" t="s">
        <v>349</v>
      </c>
      <c r="C15" s="23" t="s">
        <v>358</v>
      </c>
      <c r="D15" s="23" t="s">
        <v>51</v>
      </c>
      <c r="E15" s="23" t="s">
        <v>359</v>
      </c>
      <c r="F15" s="23" t="s">
        <v>317</v>
      </c>
      <c r="G15" s="23" t="s">
        <v>360</v>
      </c>
    </row>
    <row r="16" spans="1:7" ht="31.5" customHeight="1" x14ac:dyDescent="0.35">
      <c r="A16" s="22" t="s">
        <v>361</v>
      </c>
      <c r="B16" s="22" t="s">
        <v>205</v>
      </c>
      <c r="C16" s="22" t="s">
        <v>362</v>
      </c>
      <c r="D16" s="22" t="s">
        <v>75</v>
      </c>
      <c r="E16" s="22" t="s">
        <v>363</v>
      </c>
      <c r="F16" s="22" t="s">
        <v>317</v>
      </c>
      <c r="G16" s="22" t="s">
        <v>364</v>
      </c>
    </row>
    <row r="17" spans="1:7" ht="31.5" customHeight="1" x14ac:dyDescent="0.35">
      <c r="A17" s="23" t="s">
        <v>365</v>
      </c>
      <c r="B17" s="23" t="s">
        <v>205</v>
      </c>
      <c r="C17" s="23" t="s">
        <v>366</v>
      </c>
      <c r="D17" s="23" t="s">
        <v>51</v>
      </c>
      <c r="E17" s="23" t="s">
        <v>367</v>
      </c>
      <c r="F17" s="23" t="s">
        <v>317</v>
      </c>
      <c r="G17" s="23" t="s">
        <v>368</v>
      </c>
    </row>
    <row r="18" spans="1:7" ht="31.5" customHeight="1" x14ac:dyDescent="0.35">
      <c r="A18" s="22" t="s">
        <v>369</v>
      </c>
      <c r="B18" s="22" t="s">
        <v>205</v>
      </c>
      <c r="C18" s="22" t="s">
        <v>370</v>
      </c>
      <c r="D18" s="22" t="s">
        <v>75</v>
      </c>
      <c r="E18" s="22" t="s">
        <v>371</v>
      </c>
      <c r="F18" s="22" t="s">
        <v>372</v>
      </c>
      <c r="G18" s="22" t="s">
        <v>373</v>
      </c>
    </row>
    <row r="19" spans="1:7" ht="31.5" customHeight="1" x14ac:dyDescent="0.35">
      <c r="A19" s="22" t="s">
        <v>374</v>
      </c>
      <c r="B19" s="22" t="s">
        <v>375</v>
      </c>
      <c r="C19" s="22" t="s">
        <v>376</v>
      </c>
      <c r="D19" s="22" t="s">
        <v>75</v>
      </c>
      <c r="E19" s="22" t="s">
        <v>377</v>
      </c>
      <c r="F19" s="22" t="s">
        <v>378</v>
      </c>
      <c r="G19" s="22" t="s">
        <v>379</v>
      </c>
    </row>
    <row r="20" spans="1:7" ht="31.5" customHeight="1" x14ac:dyDescent="0.35">
      <c r="A20" s="22" t="s">
        <v>380</v>
      </c>
      <c r="B20" s="22" t="s">
        <v>375</v>
      </c>
      <c r="C20" s="22" t="s">
        <v>381</v>
      </c>
      <c r="D20" s="22" t="s">
        <v>75</v>
      </c>
      <c r="E20" s="22" t="s">
        <v>382</v>
      </c>
      <c r="F20" s="22" t="s">
        <v>383</v>
      </c>
      <c r="G20" s="22" t="s">
        <v>384</v>
      </c>
    </row>
    <row r="21" spans="1:7" ht="31.5" customHeight="1" x14ac:dyDescent="0.35">
      <c r="A21" s="22" t="s">
        <v>385</v>
      </c>
      <c r="B21" s="22" t="s">
        <v>375</v>
      </c>
      <c r="C21" s="22" t="s">
        <v>386</v>
      </c>
      <c r="D21" s="22" t="s">
        <v>75</v>
      </c>
      <c r="E21" s="22" t="s">
        <v>387</v>
      </c>
      <c r="F21" s="22" t="s">
        <v>321</v>
      </c>
      <c r="G21" s="22" t="s">
        <v>388</v>
      </c>
    </row>
    <row r="22" spans="1:7" ht="31.5" customHeight="1" x14ac:dyDescent="0.35">
      <c r="A22" s="22" t="s">
        <v>389</v>
      </c>
      <c r="B22" s="22" t="s">
        <v>390</v>
      </c>
      <c r="C22" s="22" t="s">
        <v>391</v>
      </c>
      <c r="D22" s="22" t="s">
        <v>75</v>
      </c>
      <c r="E22" s="22" t="s">
        <v>392</v>
      </c>
      <c r="F22" s="22" t="s">
        <v>312</v>
      </c>
      <c r="G22" s="22" t="s">
        <v>393</v>
      </c>
    </row>
    <row r="23" spans="1:7" ht="31.5" customHeight="1" x14ac:dyDescent="0.35">
      <c r="A23" s="43" t="s">
        <v>394</v>
      </c>
      <c r="B23" s="44"/>
      <c r="C23" s="44"/>
      <c r="D23" s="44"/>
      <c r="E23" s="44"/>
      <c r="F23" s="44"/>
      <c r="G23" s="45"/>
    </row>
    <row r="24" spans="1:7" ht="35" customHeight="1" x14ac:dyDescent="0.35">
      <c r="A24" s="35" t="s">
        <v>395</v>
      </c>
      <c r="B24" s="35" t="s">
        <v>396</v>
      </c>
      <c r="C24" s="35" t="s">
        <v>397</v>
      </c>
      <c r="D24" s="35" t="s">
        <v>75</v>
      </c>
      <c r="E24" s="35" t="s">
        <v>398</v>
      </c>
      <c r="F24" s="35" t="s">
        <v>312</v>
      </c>
      <c r="G24" s="35" t="s">
        <v>399</v>
      </c>
    </row>
    <row r="25" spans="1:7" ht="35" customHeight="1" x14ac:dyDescent="0.35">
      <c r="A25" s="35" t="s">
        <v>400</v>
      </c>
      <c r="B25" s="35" t="s">
        <v>396</v>
      </c>
      <c r="C25" s="35" t="s">
        <v>401</v>
      </c>
      <c r="D25" s="35" t="s">
        <v>75</v>
      </c>
      <c r="E25" s="35" t="s">
        <v>402</v>
      </c>
      <c r="F25" s="35" t="s">
        <v>312</v>
      </c>
      <c r="G25" s="35" t="s">
        <v>403</v>
      </c>
    </row>
    <row r="26" spans="1:7" ht="35" customHeight="1" x14ac:dyDescent="0.35">
      <c r="A26" s="35" t="s">
        <v>404</v>
      </c>
      <c r="B26" s="35" t="s">
        <v>396</v>
      </c>
      <c r="C26" s="35" t="s">
        <v>405</v>
      </c>
      <c r="D26" s="35" t="s">
        <v>75</v>
      </c>
      <c r="E26" s="35" t="s">
        <v>406</v>
      </c>
      <c r="F26" s="35" t="s">
        <v>317</v>
      </c>
      <c r="G26" s="35" t="s">
        <v>407</v>
      </c>
    </row>
    <row r="27" spans="1:7" ht="35" customHeight="1" x14ac:dyDescent="0.35">
      <c r="A27" s="35" t="s">
        <v>408</v>
      </c>
      <c r="B27" s="35" t="s">
        <v>396</v>
      </c>
      <c r="C27" s="35" t="s">
        <v>409</v>
      </c>
      <c r="D27" s="35" t="s">
        <v>75</v>
      </c>
      <c r="E27" s="35" t="s">
        <v>410</v>
      </c>
      <c r="F27" s="35" t="s">
        <v>321</v>
      </c>
      <c r="G27" s="35" t="s">
        <v>411</v>
      </c>
    </row>
    <row r="28" spans="1:7" ht="35" customHeight="1" x14ac:dyDescent="0.35">
      <c r="A28" s="35" t="s">
        <v>412</v>
      </c>
      <c r="B28" s="35" t="s">
        <v>396</v>
      </c>
      <c r="C28" s="35" t="s">
        <v>413</v>
      </c>
      <c r="D28" s="35" t="s">
        <v>75</v>
      </c>
      <c r="E28" s="35" t="s">
        <v>414</v>
      </c>
      <c r="F28" s="35" t="s">
        <v>415</v>
      </c>
      <c r="G28" s="35" t="s">
        <v>416</v>
      </c>
    </row>
    <row r="29" spans="1:7" ht="35" customHeight="1" x14ac:dyDescent="0.35">
      <c r="A29" s="36" t="s">
        <v>417</v>
      </c>
      <c r="B29" s="36" t="s">
        <v>396</v>
      </c>
      <c r="C29" s="36" t="s">
        <v>418</v>
      </c>
      <c r="D29" s="36" t="s">
        <v>51</v>
      </c>
      <c r="E29" s="36" t="s">
        <v>419</v>
      </c>
      <c r="F29" s="36" t="s">
        <v>420</v>
      </c>
      <c r="G29" s="36" t="s">
        <v>421</v>
      </c>
    </row>
    <row r="30" spans="1:7" ht="35" customHeight="1" x14ac:dyDescent="0.35">
      <c r="A30" s="35" t="s">
        <v>422</v>
      </c>
      <c r="B30" s="35" t="s">
        <v>423</v>
      </c>
      <c r="C30" s="35" t="s">
        <v>424</v>
      </c>
      <c r="D30" s="35" t="s">
        <v>75</v>
      </c>
      <c r="E30" s="35" t="s">
        <v>425</v>
      </c>
      <c r="F30" s="35" t="s">
        <v>317</v>
      </c>
      <c r="G30" s="35" t="s">
        <v>426</v>
      </c>
    </row>
    <row r="31" spans="1:7" ht="35" customHeight="1" x14ac:dyDescent="0.35">
      <c r="A31" s="35" t="s">
        <v>427</v>
      </c>
      <c r="B31" s="35" t="s">
        <v>423</v>
      </c>
      <c r="C31" s="35" t="s">
        <v>428</v>
      </c>
      <c r="D31" s="35" t="s">
        <v>75</v>
      </c>
      <c r="E31" s="35" t="s">
        <v>429</v>
      </c>
      <c r="F31" s="35" t="s">
        <v>317</v>
      </c>
      <c r="G31" s="35" t="s">
        <v>430</v>
      </c>
    </row>
    <row r="32" spans="1:7" ht="35" customHeight="1" x14ac:dyDescent="0.35">
      <c r="A32" s="35" t="s">
        <v>431</v>
      </c>
      <c r="B32" s="35" t="s">
        <v>423</v>
      </c>
      <c r="C32" s="35" t="s">
        <v>432</v>
      </c>
      <c r="D32" s="35" t="s">
        <v>75</v>
      </c>
      <c r="E32" s="35" t="s">
        <v>433</v>
      </c>
      <c r="F32" s="35" t="s">
        <v>317</v>
      </c>
      <c r="G32" s="35" t="s">
        <v>434</v>
      </c>
    </row>
    <row r="33" spans="1:7" ht="35" customHeight="1" x14ac:dyDescent="0.35">
      <c r="A33" s="35" t="s">
        <v>435</v>
      </c>
      <c r="B33" s="35" t="s">
        <v>423</v>
      </c>
      <c r="C33" s="35" t="s">
        <v>436</v>
      </c>
      <c r="D33" s="35" t="s">
        <v>75</v>
      </c>
      <c r="E33" s="35" t="s">
        <v>437</v>
      </c>
      <c r="F33" s="35" t="s">
        <v>317</v>
      </c>
      <c r="G33" s="35" t="s">
        <v>438</v>
      </c>
    </row>
    <row r="34" spans="1:7" ht="35" customHeight="1" x14ac:dyDescent="0.35">
      <c r="A34" s="35" t="s">
        <v>439</v>
      </c>
      <c r="B34" s="35" t="s">
        <v>423</v>
      </c>
      <c r="C34" s="35" t="s">
        <v>440</v>
      </c>
      <c r="D34" s="35" t="s">
        <v>75</v>
      </c>
      <c r="E34" s="35" t="s">
        <v>441</v>
      </c>
      <c r="F34" s="35" t="s">
        <v>317</v>
      </c>
      <c r="G34" s="35" t="s">
        <v>438</v>
      </c>
    </row>
    <row r="35" spans="1:7" ht="35" customHeight="1" x14ac:dyDescent="0.35">
      <c r="A35" s="36" t="s">
        <v>442</v>
      </c>
      <c r="B35" s="36" t="s">
        <v>423</v>
      </c>
      <c r="C35" s="36" t="s">
        <v>443</v>
      </c>
      <c r="D35" s="36" t="s">
        <v>51</v>
      </c>
      <c r="E35" s="36" t="s">
        <v>444</v>
      </c>
      <c r="F35" s="36" t="s">
        <v>317</v>
      </c>
      <c r="G35" s="36" t="s">
        <v>426</v>
      </c>
    </row>
    <row r="36" spans="1:7" ht="35" customHeight="1" x14ac:dyDescent="0.35">
      <c r="A36" s="36" t="s">
        <v>445</v>
      </c>
      <c r="B36" s="36" t="s">
        <v>423</v>
      </c>
      <c r="C36" s="36" t="s">
        <v>446</v>
      </c>
      <c r="D36" s="36" t="s">
        <v>51</v>
      </c>
      <c r="E36" s="36" t="s">
        <v>447</v>
      </c>
      <c r="F36" s="36" t="s">
        <v>317</v>
      </c>
      <c r="G36" s="36" t="s">
        <v>448</v>
      </c>
    </row>
    <row r="37" spans="1:7" ht="35" customHeight="1" x14ac:dyDescent="0.35">
      <c r="A37" s="37" t="s">
        <v>449</v>
      </c>
      <c r="B37" s="37" t="s">
        <v>423</v>
      </c>
      <c r="C37" s="37" t="s">
        <v>450</v>
      </c>
      <c r="D37" s="37" t="s">
        <v>451</v>
      </c>
      <c r="E37" s="37" t="s">
        <v>452</v>
      </c>
      <c r="F37" s="37" t="s">
        <v>312</v>
      </c>
      <c r="G37" s="37" t="s">
        <v>453</v>
      </c>
    </row>
    <row r="38" spans="1:7" ht="35" customHeight="1" x14ac:dyDescent="0.35">
      <c r="A38" s="36" t="s">
        <v>454</v>
      </c>
      <c r="B38" s="36" t="s">
        <v>455</v>
      </c>
      <c r="C38" s="36" t="s">
        <v>456</v>
      </c>
      <c r="D38" s="36" t="s">
        <v>51</v>
      </c>
      <c r="E38" s="36" t="s">
        <v>457</v>
      </c>
      <c r="F38" s="36" t="s">
        <v>317</v>
      </c>
      <c r="G38" s="36" t="s">
        <v>458</v>
      </c>
    </row>
    <row r="39" spans="1:7" ht="35" customHeight="1" x14ac:dyDescent="0.35">
      <c r="A39" s="36" t="s">
        <v>459</v>
      </c>
      <c r="B39" s="36" t="s">
        <v>455</v>
      </c>
      <c r="C39" s="36" t="s">
        <v>460</v>
      </c>
      <c r="D39" s="36" t="s">
        <v>51</v>
      </c>
      <c r="E39" s="36" t="s">
        <v>461</v>
      </c>
      <c r="F39" s="36" t="s">
        <v>317</v>
      </c>
      <c r="G39" s="36" t="s">
        <v>462</v>
      </c>
    </row>
    <row r="40" spans="1:7" ht="35" customHeight="1" x14ac:dyDescent="0.35">
      <c r="A40" s="37" t="s">
        <v>463</v>
      </c>
      <c r="B40" s="37" t="s">
        <v>464</v>
      </c>
      <c r="C40" s="37" t="s">
        <v>465</v>
      </c>
      <c r="D40" s="37" t="s">
        <v>466</v>
      </c>
      <c r="E40" s="37" t="s">
        <v>467</v>
      </c>
      <c r="F40" s="37" t="s">
        <v>468</v>
      </c>
      <c r="G40" s="37" t="s">
        <v>469</v>
      </c>
    </row>
  </sheetData>
  <mergeCells count="2">
    <mergeCell ref="A1:G1"/>
    <mergeCell ref="A23:G23"/>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5"/>
  <sheetViews>
    <sheetView topLeftCell="A13" workbookViewId="0">
      <selection activeCell="A3" sqref="A3"/>
    </sheetView>
  </sheetViews>
  <sheetFormatPr defaultRowHeight="14.5" x14ac:dyDescent="0.35"/>
  <cols>
    <col min="1" max="1" width="22" customWidth="1"/>
    <col min="2" max="2" width="20" customWidth="1"/>
    <col min="3" max="3" width="22" customWidth="1"/>
    <col min="4" max="4" width="55" customWidth="1"/>
    <col min="5" max="5" width="18" customWidth="1"/>
  </cols>
  <sheetData>
    <row r="1" spans="1:6" ht="18" x14ac:dyDescent="0.4">
      <c r="A1" s="49" t="s">
        <v>470</v>
      </c>
      <c r="B1" s="39"/>
      <c r="C1" s="39"/>
      <c r="D1" s="39"/>
      <c r="E1" s="39"/>
      <c r="F1" s="39"/>
    </row>
    <row r="3" spans="1:6" ht="28.5" x14ac:dyDescent="0.35">
      <c r="A3" s="50" t="s">
        <v>471</v>
      </c>
    </row>
    <row r="4" spans="1:6" x14ac:dyDescent="0.35">
      <c r="A4" s="46" t="s">
        <v>102</v>
      </c>
      <c r="B4" s="44"/>
      <c r="C4" s="44"/>
      <c r="D4" s="44"/>
      <c r="E4" s="45"/>
    </row>
    <row r="5" spans="1:6" ht="26" x14ac:dyDescent="0.35">
      <c r="A5" s="26" t="s">
        <v>472</v>
      </c>
      <c r="B5" s="26" t="s">
        <v>473</v>
      </c>
      <c r="C5" s="26" t="s">
        <v>474</v>
      </c>
      <c r="D5" s="26" t="s">
        <v>475</v>
      </c>
      <c r="E5" s="26" t="s">
        <v>75</v>
      </c>
    </row>
    <row r="6" spans="1:6" x14ac:dyDescent="0.35">
      <c r="A6" s="26" t="s">
        <v>476</v>
      </c>
      <c r="B6" s="26" t="s">
        <v>477</v>
      </c>
      <c r="C6" s="26" t="s">
        <v>478</v>
      </c>
      <c r="D6" s="26" t="s">
        <v>479</v>
      </c>
      <c r="E6" s="26" t="s">
        <v>75</v>
      </c>
    </row>
    <row r="7" spans="1:6" x14ac:dyDescent="0.35">
      <c r="A7" s="48" t="s">
        <v>480</v>
      </c>
      <c r="B7" s="44"/>
      <c r="C7" s="44"/>
      <c r="D7" s="44"/>
      <c r="E7" s="45"/>
    </row>
    <row r="8" spans="1:6" x14ac:dyDescent="0.35">
      <c r="A8" s="26" t="s">
        <v>481</v>
      </c>
      <c r="B8" s="26" t="s">
        <v>482</v>
      </c>
      <c r="C8" s="26" t="s">
        <v>483</v>
      </c>
      <c r="D8" s="26" t="s">
        <v>484</v>
      </c>
      <c r="E8" s="26" t="s">
        <v>75</v>
      </c>
    </row>
    <row r="9" spans="1:6" x14ac:dyDescent="0.35">
      <c r="A9" s="27" t="s">
        <v>485</v>
      </c>
      <c r="B9" s="27" t="s">
        <v>486</v>
      </c>
      <c r="C9" s="27" t="s">
        <v>487</v>
      </c>
      <c r="D9" s="27" t="s">
        <v>488</v>
      </c>
      <c r="E9" s="27" t="s">
        <v>51</v>
      </c>
    </row>
    <row r="10" spans="1:6" x14ac:dyDescent="0.35">
      <c r="A10" s="48" t="s">
        <v>489</v>
      </c>
      <c r="B10" s="44"/>
      <c r="C10" s="44"/>
      <c r="D10" s="44"/>
      <c r="E10" s="45"/>
    </row>
    <row r="12" spans="1:6" x14ac:dyDescent="0.35">
      <c r="A12" s="39"/>
      <c r="B12" s="39"/>
      <c r="C12" s="39"/>
      <c r="D12" s="39"/>
      <c r="E12" s="39"/>
      <c r="F12" s="39"/>
    </row>
    <row r="13" spans="1:6" ht="28.5" x14ac:dyDescent="0.35">
      <c r="A13" s="50" t="s">
        <v>490</v>
      </c>
    </row>
    <row r="14" spans="1:6" x14ac:dyDescent="0.35">
      <c r="A14" s="40" t="s">
        <v>491</v>
      </c>
      <c r="B14" s="39"/>
      <c r="C14" s="39"/>
      <c r="D14" s="39"/>
      <c r="E14" s="39"/>
    </row>
    <row r="15" spans="1:6" x14ac:dyDescent="0.35">
      <c r="A15" s="39"/>
      <c r="B15" s="39"/>
      <c r="C15" s="39"/>
      <c r="D15" s="39"/>
      <c r="E15" s="39"/>
    </row>
    <row r="16" spans="1:6" ht="42.5" x14ac:dyDescent="0.35">
      <c r="A16" s="50" t="s">
        <v>492</v>
      </c>
    </row>
    <row r="17" spans="1:5" x14ac:dyDescent="0.35">
      <c r="A17" t="s">
        <v>493</v>
      </c>
    </row>
    <row r="18" spans="1:5" x14ac:dyDescent="0.35">
      <c r="A18" t="s">
        <v>494</v>
      </c>
    </row>
    <row r="19" spans="1:5" x14ac:dyDescent="0.35">
      <c r="A19" t="s">
        <v>495</v>
      </c>
    </row>
    <row r="20" spans="1:5" x14ac:dyDescent="0.35">
      <c r="A20" t="s">
        <v>496</v>
      </c>
    </row>
    <row r="21" spans="1:5" x14ac:dyDescent="0.35">
      <c r="A21" t="s">
        <v>497</v>
      </c>
    </row>
    <row r="23" spans="1:5" ht="42.5" x14ac:dyDescent="0.35">
      <c r="A23" s="50" t="s">
        <v>498</v>
      </c>
    </row>
    <row r="24" spans="1:5" x14ac:dyDescent="0.35">
      <c r="A24" s="47" t="s">
        <v>499</v>
      </c>
      <c r="B24" s="39"/>
      <c r="C24" s="39"/>
      <c r="D24" s="39"/>
      <c r="E24" s="39"/>
    </row>
    <row r="25" spans="1:5" x14ac:dyDescent="0.35">
      <c r="A25" s="39"/>
      <c r="B25" s="39"/>
      <c r="C25" s="39"/>
      <c r="D25" s="39"/>
      <c r="E25" s="39"/>
    </row>
  </sheetData>
  <mergeCells count="9">
    <mergeCell ref="A25:E25"/>
    <mergeCell ref="A10:E10"/>
    <mergeCell ref="A12:F12"/>
    <mergeCell ref="A14:E14"/>
    <mergeCell ref="A4:E4"/>
    <mergeCell ref="A24:E24"/>
    <mergeCell ref="A15:E15"/>
    <mergeCell ref="A7:E7"/>
    <mergeCell ref="A1:F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5"/>
  <sheetViews>
    <sheetView workbookViewId="0">
      <selection activeCell="B25" sqref="B25"/>
    </sheetView>
  </sheetViews>
  <sheetFormatPr defaultRowHeight="14.5" x14ac:dyDescent="0.35"/>
  <cols>
    <col min="1" max="1" width="24" customWidth="1"/>
    <col min="2" max="3" width="22" customWidth="1"/>
    <col min="4" max="4" width="40" customWidth="1"/>
    <col min="5" max="5" width="14" customWidth="1"/>
  </cols>
  <sheetData>
    <row r="1" spans="1:6" ht="18" x14ac:dyDescent="0.4">
      <c r="A1" s="49" t="s">
        <v>500</v>
      </c>
      <c r="B1" s="39"/>
      <c r="C1" s="39"/>
      <c r="D1" s="39"/>
      <c r="E1" s="39"/>
      <c r="F1" s="39"/>
    </row>
    <row r="3" spans="1:6" ht="28.5" x14ac:dyDescent="0.35">
      <c r="A3" s="50" t="s">
        <v>471</v>
      </c>
    </row>
    <row r="4" spans="1:6" x14ac:dyDescent="0.35">
      <c r="A4" s="25" t="s">
        <v>501</v>
      </c>
      <c r="B4" s="25" t="s">
        <v>304</v>
      </c>
      <c r="C4" s="25" t="s">
        <v>502</v>
      </c>
      <c r="D4" s="25" t="s">
        <v>503</v>
      </c>
      <c r="E4" s="25" t="s">
        <v>41</v>
      </c>
    </row>
    <row r="5" spans="1:6" x14ac:dyDescent="0.35">
      <c r="A5" s="26" t="s">
        <v>504</v>
      </c>
      <c r="B5" s="26" t="s">
        <v>505</v>
      </c>
      <c r="C5" s="26" t="s">
        <v>506</v>
      </c>
      <c r="D5" s="26" t="s">
        <v>507</v>
      </c>
      <c r="E5" s="26" t="s">
        <v>75</v>
      </c>
    </row>
    <row r="6" spans="1:6" x14ac:dyDescent="0.35">
      <c r="A6" s="26" t="s">
        <v>508</v>
      </c>
      <c r="B6" s="26" t="s">
        <v>509</v>
      </c>
      <c r="C6" s="26" t="s">
        <v>506</v>
      </c>
      <c r="D6" s="26" t="s">
        <v>510</v>
      </c>
      <c r="E6" s="26" t="s">
        <v>75</v>
      </c>
    </row>
    <row r="7" spans="1:6" x14ac:dyDescent="0.35">
      <c r="A7" s="26" t="s">
        <v>511</v>
      </c>
      <c r="B7" s="26" t="s">
        <v>512</v>
      </c>
      <c r="C7" s="26" t="s">
        <v>506</v>
      </c>
      <c r="D7" s="26" t="s">
        <v>513</v>
      </c>
      <c r="E7" s="26" t="s">
        <v>75</v>
      </c>
    </row>
    <row r="8" spans="1:6" ht="26" x14ac:dyDescent="0.35">
      <c r="A8" s="26" t="s">
        <v>514</v>
      </c>
      <c r="B8" s="26" t="s">
        <v>515</v>
      </c>
      <c r="C8" s="26" t="s">
        <v>516</v>
      </c>
      <c r="D8" s="26" t="s">
        <v>517</v>
      </c>
      <c r="E8" s="26" t="s">
        <v>75</v>
      </c>
    </row>
    <row r="9" spans="1:6" x14ac:dyDescent="0.35">
      <c r="A9" s="26" t="s">
        <v>518</v>
      </c>
      <c r="B9" s="26" t="s">
        <v>519</v>
      </c>
      <c r="C9" s="26" t="s">
        <v>520</v>
      </c>
      <c r="D9" s="26" t="s">
        <v>521</v>
      </c>
      <c r="E9" s="26" t="s">
        <v>75</v>
      </c>
    </row>
    <row r="10" spans="1:6" x14ac:dyDescent="0.35">
      <c r="A10" s="26" t="s">
        <v>522</v>
      </c>
      <c r="B10" s="26" t="s">
        <v>523</v>
      </c>
      <c r="C10" s="26" t="s">
        <v>524</v>
      </c>
      <c r="D10" s="26" t="s">
        <v>525</v>
      </c>
      <c r="E10" s="26" t="s">
        <v>75</v>
      </c>
    </row>
    <row r="11" spans="1:6" ht="26" x14ac:dyDescent="0.35">
      <c r="A11" s="27" t="s">
        <v>526</v>
      </c>
      <c r="B11" s="27" t="s">
        <v>527</v>
      </c>
      <c r="C11" s="27" t="s">
        <v>528</v>
      </c>
      <c r="D11" s="27" t="s">
        <v>529</v>
      </c>
      <c r="E11" s="27" t="s">
        <v>51</v>
      </c>
    </row>
    <row r="14" spans="1:6" x14ac:dyDescent="0.35">
      <c r="A14" s="24" t="s">
        <v>530</v>
      </c>
    </row>
    <row r="15" spans="1:6" ht="116" x14ac:dyDescent="0.35">
      <c r="A15" s="3" t="s">
        <v>531</v>
      </c>
    </row>
    <row r="17" spans="1:1" ht="42.5" x14ac:dyDescent="0.35">
      <c r="A17" s="50" t="s">
        <v>492</v>
      </c>
    </row>
    <row r="18" spans="1:1" x14ac:dyDescent="0.35">
      <c r="A18" t="s">
        <v>532</v>
      </c>
    </row>
    <row r="19" spans="1:1" x14ac:dyDescent="0.35">
      <c r="A19" t="s">
        <v>533</v>
      </c>
    </row>
    <row r="20" spans="1:1" x14ac:dyDescent="0.35">
      <c r="A20" t="s">
        <v>534</v>
      </c>
    </row>
    <row r="21" spans="1:1" x14ac:dyDescent="0.35">
      <c r="A21" t="s">
        <v>535</v>
      </c>
    </row>
    <row r="22" spans="1:1" x14ac:dyDescent="0.35">
      <c r="A22" t="s">
        <v>536</v>
      </c>
    </row>
    <row r="24" spans="1:1" ht="28.5" x14ac:dyDescent="0.35">
      <c r="A24" s="50" t="s">
        <v>537</v>
      </c>
    </row>
    <row r="25" spans="1:1" ht="145" x14ac:dyDescent="0.35">
      <c r="A25" s="28" t="s">
        <v>538</v>
      </c>
    </row>
  </sheetData>
  <mergeCells count="1">
    <mergeCell ref="A1:F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0"/>
  <sheetViews>
    <sheetView workbookViewId="0">
      <selection sqref="A1:F1"/>
    </sheetView>
  </sheetViews>
  <sheetFormatPr defaultRowHeight="14.5" x14ac:dyDescent="0.35"/>
  <cols>
    <col min="1" max="1" width="20" customWidth="1"/>
    <col min="2" max="2" width="50" customWidth="1"/>
  </cols>
  <sheetData>
    <row r="1" spans="1:6" ht="18" x14ac:dyDescent="0.4">
      <c r="A1" s="49" t="s">
        <v>539</v>
      </c>
      <c r="B1" s="39"/>
      <c r="C1" s="39"/>
      <c r="D1" s="39"/>
      <c r="E1" s="39"/>
      <c r="F1" s="39"/>
    </row>
    <row r="3" spans="1:6" x14ac:dyDescent="0.35">
      <c r="A3" s="24" t="s">
        <v>540</v>
      </c>
    </row>
    <row r="4" spans="1:6" ht="188.5" x14ac:dyDescent="0.35">
      <c r="A4" s="28" t="s">
        <v>541</v>
      </c>
    </row>
    <row r="6" spans="1:6" x14ac:dyDescent="0.35">
      <c r="A6" s="24" t="s">
        <v>542</v>
      </c>
    </row>
    <row r="7" spans="1:6" ht="203" x14ac:dyDescent="0.35">
      <c r="A7" s="3" t="s">
        <v>543</v>
      </c>
    </row>
    <row r="9" spans="1:6" x14ac:dyDescent="0.35">
      <c r="A9" s="24" t="s">
        <v>544</v>
      </c>
    </row>
    <row r="10" spans="1:6" x14ac:dyDescent="0.35">
      <c r="A10" s="29" t="s">
        <v>545</v>
      </c>
    </row>
  </sheetData>
  <mergeCells count="1">
    <mergeCell ref="A1:F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5"/>
  <sheetViews>
    <sheetView tabSelected="1" workbookViewId="0">
      <selection activeCell="A3" sqref="A3"/>
    </sheetView>
  </sheetViews>
  <sheetFormatPr defaultRowHeight="14.5" x14ac:dyDescent="0.35"/>
  <cols>
    <col min="1" max="1" width="26" customWidth="1"/>
    <col min="2" max="2" width="16" customWidth="1"/>
    <col min="3" max="3" width="18" customWidth="1"/>
    <col min="4" max="4" width="32" customWidth="1"/>
    <col min="5" max="5" width="16" customWidth="1"/>
    <col min="6" max="6" width="40" customWidth="1"/>
  </cols>
  <sheetData>
    <row r="1" spans="1:6" ht="18" x14ac:dyDescent="0.4">
      <c r="A1" s="49" t="s">
        <v>546</v>
      </c>
      <c r="B1" s="39"/>
      <c r="C1" s="39"/>
      <c r="D1" s="39"/>
      <c r="E1" s="39"/>
      <c r="F1" s="39"/>
    </row>
    <row r="3" spans="1:6" ht="28.5" x14ac:dyDescent="0.35">
      <c r="A3" s="50" t="s">
        <v>547</v>
      </c>
    </row>
    <row r="4" spans="1:6" x14ac:dyDescent="0.35">
      <c r="A4" s="30" t="s">
        <v>548</v>
      </c>
      <c r="B4" s="30" t="s">
        <v>549</v>
      </c>
      <c r="C4" s="30" t="s">
        <v>330</v>
      </c>
      <c r="D4" s="30" t="s">
        <v>550</v>
      </c>
      <c r="E4" s="30" t="s">
        <v>551</v>
      </c>
      <c r="F4" s="30" t="s">
        <v>552</v>
      </c>
    </row>
    <row r="5" spans="1:6" ht="35" customHeight="1" x14ac:dyDescent="0.35">
      <c r="A5" s="31" t="s">
        <v>553</v>
      </c>
      <c r="B5" s="31" t="s">
        <v>554</v>
      </c>
      <c r="C5" s="31" t="s">
        <v>89</v>
      </c>
      <c r="D5" s="31" t="s">
        <v>555</v>
      </c>
      <c r="E5" s="31" t="s">
        <v>556</v>
      </c>
      <c r="F5" s="31" t="s">
        <v>557</v>
      </c>
    </row>
    <row r="6" spans="1:6" ht="35" customHeight="1" x14ac:dyDescent="0.35">
      <c r="A6" s="32" t="s">
        <v>558</v>
      </c>
      <c r="B6" s="32" t="s">
        <v>554</v>
      </c>
      <c r="C6" s="32" t="s">
        <v>559</v>
      </c>
      <c r="D6" s="32" t="s">
        <v>560</v>
      </c>
      <c r="E6" s="32" t="s">
        <v>561</v>
      </c>
      <c r="F6" s="32" t="s">
        <v>562</v>
      </c>
    </row>
    <row r="7" spans="1:6" ht="35" customHeight="1" x14ac:dyDescent="0.35">
      <c r="A7" s="32" t="s">
        <v>396</v>
      </c>
      <c r="B7" s="32" t="s">
        <v>563</v>
      </c>
      <c r="C7" s="32" t="s">
        <v>564</v>
      </c>
      <c r="D7" s="32" t="s">
        <v>565</v>
      </c>
      <c r="E7" s="32" t="s">
        <v>566</v>
      </c>
      <c r="F7" s="32" t="s">
        <v>567</v>
      </c>
    </row>
    <row r="8" spans="1:6" ht="35" customHeight="1" x14ac:dyDescent="0.35">
      <c r="A8" s="33" t="s">
        <v>568</v>
      </c>
      <c r="B8" s="33" t="s">
        <v>569</v>
      </c>
      <c r="C8" s="33" t="s">
        <v>569</v>
      </c>
      <c r="D8" s="33" t="s">
        <v>570</v>
      </c>
      <c r="E8" s="33" t="s">
        <v>571</v>
      </c>
      <c r="F8" s="33" t="s">
        <v>572</v>
      </c>
    </row>
    <row r="11" spans="1:6" x14ac:dyDescent="0.35">
      <c r="A11" s="24" t="s">
        <v>573</v>
      </c>
    </row>
    <row r="12" spans="1:6" ht="159.5" x14ac:dyDescent="0.35">
      <c r="A12" s="34" t="s">
        <v>574</v>
      </c>
    </row>
    <row r="14" spans="1:6" x14ac:dyDescent="0.35">
      <c r="A14" s="24" t="s">
        <v>575</v>
      </c>
    </row>
    <row r="15" spans="1:6" ht="203" x14ac:dyDescent="0.35">
      <c r="A15" s="28" t="s">
        <v>576</v>
      </c>
    </row>
  </sheetData>
  <mergeCells count="1">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00_Cover_Instructions</vt:lpstr>
      <vt:lpstr>01_Market_Snapshot</vt:lpstr>
      <vt:lpstr>02_Competition</vt:lpstr>
      <vt:lpstr>03_Fares_Unit_Econ</vt:lpstr>
      <vt:lpstr>04_Launch_Cost_Model</vt:lpstr>
      <vt:lpstr>05_Scenario_Sensitivity</vt:lpstr>
      <vt:lpstr>06_Source_Tracker</vt:lpstr>
      <vt:lpstr>07_Food_Delivery</vt:lpstr>
      <vt:lpstr>08_Package_Dispatch</vt:lpstr>
      <vt:lpstr>09_Shared_Rides</vt:lpstr>
      <vt:lpstr>10_MultiService_Opportunity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NADIR ABDULHADI</cp:lastModifiedBy>
  <cp:revision>0</cp:revision>
  <dcterms:created xsi:type="dcterms:W3CDTF">2026-09-27T16:43:03Z</dcterms:created>
  <dcterms:modified xsi:type="dcterms:W3CDTF">2026-10-04T16:29:23Z</dcterms:modified>
  <dc:language>en-US</dc:language>
</cp:coreProperties>
</file>